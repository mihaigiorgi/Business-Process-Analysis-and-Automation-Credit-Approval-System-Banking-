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iorgi\Documents\UiPath\Acordarea-Creditelor\"/>
    </mc:Choice>
  </mc:AlternateContent>
  <xr:revisionPtr revIDLastSave="0" documentId="13_ncr:1_{EAE12C0A-9C76-43B1-B844-F314B159284D}" xr6:coauthVersionLast="47" xr6:coauthVersionMax="47" xr10:uidLastSave="{00000000-0000-0000-0000-000000000000}"/>
  <bookViews>
    <workbookView xWindow="2076" yWindow="2808" windowWidth="17280" windowHeight="8880" activeTab="1" xr2:uid="{00000000-000D-0000-FFFF-FFFF00000000}"/>
  </bookViews>
  <sheets>
    <sheet name="Cereri" sheetId="1" r:id="rId1"/>
    <sheet name="Raspu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</calcChain>
</file>

<file path=xl/sharedStrings.xml><?xml version="1.0" encoding="utf-8"?>
<sst xmlns="http://schemas.openxmlformats.org/spreadsheetml/2006/main" count="364" uniqueCount="171">
  <si>
    <t>Nr. Crt.</t>
  </si>
  <si>
    <t>Nume și Prenume</t>
  </si>
  <si>
    <t>CNP</t>
  </si>
  <si>
    <t>Adresa</t>
  </si>
  <si>
    <t>Venit Lunar</t>
  </si>
  <si>
    <t>Suma Solicitata</t>
  </si>
  <si>
    <t>Durata Creditului (luni)</t>
  </si>
  <si>
    <t>Scopul Creditului</t>
  </si>
  <si>
    <t>Tipul Creditului</t>
  </si>
  <si>
    <t>Scoring Credit</t>
  </si>
  <si>
    <t>Data Solicitarii</t>
  </si>
  <si>
    <t>Str. Florilor, nr. 10</t>
  </si>
  <si>
    <t>Achiziție locuință</t>
  </si>
  <si>
    <t>Ipotecar</t>
  </si>
  <si>
    <t>01.06.2024</t>
  </si>
  <si>
    <t>Str. Libertății, nr. 25</t>
  </si>
  <si>
    <t>Consolidare datorii</t>
  </si>
  <si>
    <t>Personal</t>
  </si>
  <si>
    <t>05.06.2024</t>
  </si>
  <si>
    <t>Str. Unirii, nr. 8</t>
  </si>
  <si>
    <t>Achiziție auto</t>
  </si>
  <si>
    <t>Auto</t>
  </si>
  <si>
    <t>10.06.2024</t>
  </si>
  <si>
    <t>Str. Victoriei, nr. 15</t>
  </si>
  <si>
    <t>Renovare locuință</t>
  </si>
  <si>
    <t>12.06.2024</t>
  </si>
  <si>
    <t>Str. Păcii, nr. 5</t>
  </si>
  <si>
    <t>15.06.2024</t>
  </si>
  <si>
    <t>Str. Lalelelor, nr. 7</t>
  </si>
  <si>
    <t>Studii</t>
  </si>
  <si>
    <t>18.06.2024</t>
  </si>
  <si>
    <t>Str. Buzești, nr. 22</t>
  </si>
  <si>
    <t>Achiziție teren</t>
  </si>
  <si>
    <t>20.06.2024</t>
  </si>
  <si>
    <t>Str. Izvor, nr. 11</t>
  </si>
  <si>
    <t>22.06.2024</t>
  </si>
  <si>
    <t>Str. Teiului, nr. 14</t>
  </si>
  <si>
    <t>25.06.2024</t>
  </si>
  <si>
    <t>Str. Gării, nr. 20</t>
  </si>
  <si>
    <t>Vacanță</t>
  </si>
  <si>
    <t>28.06.2024</t>
  </si>
  <si>
    <t>Str. Salcâmilor, nr. 9</t>
  </si>
  <si>
    <t>01.07.2024</t>
  </si>
  <si>
    <t>Str. Mihai Viteazu, nr. 3</t>
  </si>
  <si>
    <t>05.07.2024</t>
  </si>
  <si>
    <t>Str. Romană, nr. 2</t>
  </si>
  <si>
    <t>10.07.2024</t>
  </si>
  <si>
    <t>Str. Albatros, nr. 6</t>
  </si>
  <si>
    <t>12.07.2024</t>
  </si>
  <si>
    <t>Str. Frunzei, nr. 11</t>
  </si>
  <si>
    <t>15.07.2024</t>
  </si>
  <si>
    <t>Str. Brâncoveanu, nr. 4</t>
  </si>
  <si>
    <t>18.07.2024</t>
  </si>
  <si>
    <t>Str. Soarelui, nr. 13</t>
  </si>
  <si>
    <t>20.07.2024</t>
  </si>
  <si>
    <t>Str. Lunei, nr. 10</t>
  </si>
  <si>
    <t>22.07.2024</t>
  </si>
  <si>
    <t>Str. Brazilor, nr. 7</t>
  </si>
  <si>
    <t>25.07.2024</t>
  </si>
  <si>
    <t>Str. Teilor, nr. 5</t>
  </si>
  <si>
    <t>28.07.2024</t>
  </si>
  <si>
    <t>Str. Victoriei, nr. 10</t>
  </si>
  <si>
    <t>01.08.2024</t>
  </si>
  <si>
    <t>Str. Florilor, nr. 15</t>
  </si>
  <si>
    <t>05.08.2024</t>
  </si>
  <si>
    <t>Str. Libertății, nr. 2</t>
  </si>
  <si>
    <t>10.08.2024</t>
  </si>
  <si>
    <t>12.08.2024</t>
  </si>
  <si>
    <t>Str. Victoriei, nr. 5</t>
  </si>
  <si>
    <t>15.08.2024</t>
  </si>
  <si>
    <t>Str. Păcii, nr. 14</t>
  </si>
  <si>
    <t>18.08.2024</t>
  </si>
  <si>
    <t>Str. Mihai Viteazu, nr. 9</t>
  </si>
  <si>
    <t>20.08.2024</t>
  </si>
  <si>
    <t>Str. Albatros, nr. 17</t>
  </si>
  <si>
    <t>22.08.2024</t>
  </si>
  <si>
    <t>Str. Romană, nr. 12</t>
  </si>
  <si>
    <t>25.08.2024</t>
  </si>
  <si>
    <t>Str. Frunzei, nr. 6</t>
  </si>
  <si>
    <t>28.08.2024</t>
  </si>
  <si>
    <t>Str. Salcâmilor, nr. 5</t>
  </si>
  <si>
    <t>01.09.2024</t>
  </si>
  <si>
    <t>05.09.2024</t>
  </si>
  <si>
    <t>Str. Izvor, nr. 9</t>
  </si>
  <si>
    <t>10.09.2024</t>
  </si>
  <si>
    <t>Str. Gării, nr. 4</t>
  </si>
  <si>
    <t>12.09.2024</t>
  </si>
  <si>
    <t>Str. Lunei, nr. 11</t>
  </si>
  <si>
    <t>15.09.2024</t>
  </si>
  <si>
    <t>Str. Buzești, nr. 14</t>
  </si>
  <si>
    <t>18.09.2024</t>
  </si>
  <si>
    <t>Str. Teiului, nr. 9</t>
  </si>
  <si>
    <t>20.09.2024</t>
  </si>
  <si>
    <t>Str. Păcii, nr. 7</t>
  </si>
  <si>
    <t>22.09.2024</t>
  </si>
  <si>
    <t>Str. Victoriei, nr. 2</t>
  </si>
  <si>
    <t>25.09.2024</t>
  </si>
  <si>
    <t>Str. Salcâmilor, nr. 15</t>
  </si>
  <si>
    <t>28.09.2024</t>
  </si>
  <si>
    <t>Str. Libertății, nr. 12</t>
  </si>
  <si>
    <t>01.10.2024</t>
  </si>
  <si>
    <t>Str. Unirii, nr. 11</t>
  </si>
  <si>
    <t>05.10.2024</t>
  </si>
  <si>
    <t>Str. Lalelelor, nr. 5</t>
  </si>
  <si>
    <t>10.10.2024</t>
  </si>
  <si>
    <t>Str. Florilor, nr. 14</t>
  </si>
  <si>
    <t>12.10.2024</t>
  </si>
  <si>
    <t>Str. Mihai Viteazu, nr. 2</t>
  </si>
  <si>
    <t>15.10.2024</t>
  </si>
  <si>
    <t>Str. Romană, nr. 6</t>
  </si>
  <si>
    <t>18.10.2024</t>
  </si>
  <si>
    <t>Str. Gării, nr. 13</t>
  </si>
  <si>
    <t>20.10.2024</t>
  </si>
  <si>
    <t>Str. Brâncoveanu, nr. 10</t>
  </si>
  <si>
    <t>22.10.2024</t>
  </si>
  <si>
    <t>Str. Libertății, nr. 8</t>
  </si>
  <si>
    <t>25.10.2024</t>
  </si>
  <si>
    <t>Str. Teilor, nr. 9</t>
  </si>
  <si>
    <t>28.10.2024</t>
  </si>
  <si>
    <t>Ion Popescu</t>
  </si>
  <si>
    <t>Maria Ionescu</t>
  </si>
  <si>
    <t>Andrei Vasile</t>
  </si>
  <si>
    <t>Elena Marin</t>
  </si>
  <si>
    <t>George Tudor</t>
  </si>
  <si>
    <t>Ana Dumitru</t>
  </si>
  <si>
    <t>Mihai Georgescu</t>
  </si>
  <si>
    <t>Irina Nistor</t>
  </si>
  <si>
    <t>Daniel Barbu</t>
  </si>
  <si>
    <t>Laura Enescu</t>
  </si>
  <si>
    <t>Florin Petrescu</t>
  </si>
  <si>
    <t>Alina Munteanu</t>
  </si>
  <si>
    <t>Cristian Radu</t>
  </si>
  <si>
    <t>Gabriela Stoica</t>
  </si>
  <si>
    <t>Alexandru Ciobanu</t>
  </si>
  <si>
    <t>Dorina Nedelcu</t>
  </si>
  <si>
    <t>Lucian Moldovan</t>
  </si>
  <si>
    <t>Carmen Anton</t>
  </si>
  <si>
    <t>Victor Dumitrescu</t>
  </si>
  <si>
    <t>Daniela Vasile</t>
  </si>
  <si>
    <t>Adrian Dima</t>
  </si>
  <si>
    <t>Mihaela Voinea</t>
  </si>
  <si>
    <t>Dan Marinescu</t>
  </si>
  <si>
    <t>Simona Popa</t>
  </si>
  <si>
    <t>Radu Filipescu</t>
  </si>
  <si>
    <t>Liliana Neagu</t>
  </si>
  <si>
    <t>Andreea Moraru</t>
  </si>
  <si>
    <t>Ștefan Mărgineanu</t>
  </si>
  <si>
    <t>Claudia Călin</t>
  </si>
  <si>
    <t>Sergiu Anton</t>
  </si>
  <si>
    <t>Vlad Anghel</t>
  </si>
  <si>
    <t>Georgiana Preda</t>
  </si>
  <si>
    <t>Cosmin Dobre</t>
  </si>
  <si>
    <t>Elena Bălan</t>
  </si>
  <si>
    <t>Mircea Botezatu</t>
  </si>
  <si>
    <t>Aurelia Roman</t>
  </si>
  <si>
    <t>Valeriu Stanciu</t>
  </si>
  <si>
    <t>Teodora Ionescu</t>
  </si>
  <si>
    <t>Nicolae Vlad</t>
  </si>
  <si>
    <t>Irina Georgescu</t>
  </si>
  <si>
    <t>Robert Bădescu</t>
  </si>
  <si>
    <t>Bianca Ene</t>
  </si>
  <si>
    <t>Tudor Lungu</t>
  </si>
  <si>
    <t>Laura Drăgan</t>
  </si>
  <si>
    <t>Liviu Marinescu</t>
  </si>
  <si>
    <t>Corina Enache</t>
  </si>
  <si>
    <t>Ilie Popa</t>
  </si>
  <si>
    <t>Sorin Rusu</t>
  </si>
  <si>
    <t>Cătălina Păun</t>
  </si>
  <si>
    <t>Raluca Iliescu</t>
  </si>
  <si>
    <t>Status</t>
  </si>
  <si>
    <t>Acceptat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</si>
</sst>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zoomScaleNormal="100" workbookViewId="0">
      <selection activeCell="L1" sqref="L1"/>
    </sheetView>
  </sheetViews>
  <sheetFormatPr defaultRowHeight="14.4" x14ac:dyDescent="0.3"/>
  <cols>
    <col min="1" max="1" width="7" bestFit="1" customWidth="1"/>
    <col min="2" max="2" width="16.44140625" bestFit="1" customWidth="1"/>
    <col min="3" max="3" width="16.6640625" style="1" bestFit="1" customWidth="1"/>
    <col min="4" max="4" width="20.6640625" bestFit="1" customWidth="1"/>
    <col min="5" max="5" width="10.21875" bestFit="1" customWidth="1"/>
    <col min="6" max="6" width="13.5546875" bestFit="1" customWidth="1"/>
    <col min="7" max="7" width="19.44140625" bestFit="1" customWidth="1"/>
    <col min="8" max="8" width="16.5546875" bestFit="1" customWidth="1"/>
    <col min="9" max="9" width="13.21875" bestFit="1" customWidth="1"/>
    <col min="10" max="10" width="12.21875" bestFit="1" customWidth="1"/>
    <col min="11" max="11" width="12.77734375" bestFit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119</v>
      </c>
      <c r="C2" s="1">
        <v>190010101234</v>
      </c>
      <c r="D2" t="s">
        <v>11</v>
      </c>
      <c r="E2">
        <v>3500</v>
      </c>
      <c r="F2">
        <v>20000</v>
      </c>
      <c r="G2">
        <v>60</v>
      </c>
      <c r="H2" t="s">
        <v>12</v>
      </c>
      <c r="I2" t="s">
        <v>13</v>
      </c>
      <c r="J2">
        <v>750</v>
      </c>
      <c r="K2" t="s">
        <v>14</v>
      </c>
    </row>
    <row r="3" spans="1:11" x14ac:dyDescent="0.3">
      <c r="A3">
        <v>2</v>
      </c>
      <c r="B3" t="s">
        <v>120</v>
      </c>
      <c r="C3" s="1">
        <v>275020202345</v>
      </c>
      <c r="D3" t="s">
        <v>15</v>
      </c>
      <c r="E3">
        <v>4500</v>
      </c>
      <c r="F3">
        <v>15000</v>
      </c>
      <c r="G3">
        <v>48</v>
      </c>
      <c r="H3" t="s">
        <v>16</v>
      </c>
      <c r="I3" t="s">
        <v>17</v>
      </c>
      <c r="J3">
        <v>800</v>
      </c>
      <c r="K3" t="s">
        <v>18</v>
      </c>
    </row>
    <row r="4" spans="1:11" x14ac:dyDescent="0.3">
      <c r="A4">
        <v>3</v>
      </c>
      <c r="B4" t="s">
        <v>121</v>
      </c>
      <c r="C4" s="1">
        <v>180030303456</v>
      </c>
      <c r="D4" t="s">
        <v>19</v>
      </c>
      <c r="E4">
        <v>3000</v>
      </c>
      <c r="F4">
        <v>10000</v>
      </c>
      <c r="G4">
        <v>36</v>
      </c>
      <c r="H4" t="s">
        <v>20</v>
      </c>
      <c r="I4" t="s">
        <v>21</v>
      </c>
      <c r="J4">
        <v>700</v>
      </c>
      <c r="K4" t="s">
        <v>22</v>
      </c>
    </row>
    <row r="5" spans="1:11" x14ac:dyDescent="0.3">
      <c r="A5">
        <v>4</v>
      </c>
      <c r="B5" t="s">
        <v>122</v>
      </c>
      <c r="C5" s="1">
        <v>285040404567</v>
      </c>
      <c r="D5" t="s">
        <v>23</v>
      </c>
      <c r="E5">
        <v>5000</v>
      </c>
      <c r="F5">
        <v>25000</v>
      </c>
      <c r="G5">
        <v>72</v>
      </c>
      <c r="H5" t="s">
        <v>24</v>
      </c>
      <c r="I5" t="s">
        <v>13</v>
      </c>
      <c r="J5">
        <v>820</v>
      </c>
      <c r="K5" t="s">
        <v>25</v>
      </c>
    </row>
    <row r="6" spans="1:11" x14ac:dyDescent="0.3">
      <c r="A6">
        <v>5</v>
      </c>
      <c r="B6" t="s">
        <v>123</v>
      </c>
      <c r="C6" s="1">
        <v>170050505678</v>
      </c>
      <c r="D6" t="s">
        <v>26</v>
      </c>
      <c r="E6">
        <v>3200</v>
      </c>
      <c r="F6">
        <v>12000</v>
      </c>
      <c r="G6">
        <v>24</v>
      </c>
      <c r="H6" t="s">
        <v>20</v>
      </c>
      <c r="I6" t="s">
        <v>21</v>
      </c>
      <c r="J6">
        <v>680</v>
      </c>
      <c r="K6" t="s">
        <v>27</v>
      </c>
    </row>
    <row r="7" spans="1:11" x14ac:dyDescent="0.3">
      <c r="A7">
        <v>6</v>
      </c>
      <c r="B7" t="s">
        <v>124</v>
      </c>
      <c r="C7" s="1">
        <v>290060606789</v>
      </c>
      <c r="D7" t="s">
        <v>28</v>
      </c>
      <c r="E7">
        <v>4200</v>
      </c>
      <c r="F7">
        <v>18000</v>
      </c>
      <c r="G7">
        <v>60</v>
      </c>
      <c r="H7" t="s">
        <v>29</v>
      </c>
      <c r="I7" t="s">
        <v>17</v>
      </c>
      <c r="J7">
        <v>780</v>
      </c>
      <c r="K7" t="s">
        <v>30</v>
      </c>
    </row>
    <row r="8" spans="1:11" x14ac:dyDescent="0.3">
      <c r="A8">
        <v>7</v>
      </c>
      <c r="B8" t="s">
        <v>125</v>
      </c>
      <c r="C8" s="1">
        <v>160070707890</v>
      </c>
      <c r="D8" t="s">
        <v>31</v>
      </c>
      <c r="E8">
        <v>3800</v>
      </c>
      <c r="F8">
        <v>22000</v>
      </c>
      <c r="G8">
        <v>48</v>
      </c>
      <c r="H8" t="s">
        <v>32</v>
      </c>
      <c r="I8" t="s">
        <v>13</v>
      </c>
      <c r="J8">
        <v>770</v>
      </c>
      <c r="K8" t="s">
        <v>33</v>
      </c>
    </row>
    <row r="9" spans="1:11" x14ac:dyDescent="0.3">
      <c r="A9">
        <v>8</v>
      </c>
      <c r="B9" t="s">
        <v>126</v>
      </c>
      <c r="C9" s="1">
        <v>195080808901</v>
      </c>
      <c r="D9" t="s">
        <v>34</v>
      </c>
      <c r="E9">
        <v>4700</v>
      </c>
      <c r="F9">
        <v>20000</v>
      </c>
      <c r="G9">
        <v>36</v>
      </c>
      <c r="H9" t="s">
        <v>20</v>
      </c>
      <c r="I9" t="s">
        <v>21</v>
      </c>
      <c r="J9">
        <v>830</v>
      </c>
      <c r="K9" t="s">
        <v>35</v>
      </c>
    </row>
    <row r="10" spans="1:11" x14ac:dyDescent="0.3">
      <c r="A10">
        <v>9</v>
      </c>
      <c r="B10" t="s">
        <v>127</v>
      </c>
      <c r="C10" s="1">
        <v>180090909012</v>
      </c>
      <c r="D10" t="s">
        <v>36</v>
      </c>
      <c r="E10">
        <v>3100</v>
      </c>
      <c r="F10">
        <v>14000</v>
      </c>
      <c r="G10">
        <v>48</v>
      </c>
      <c r="H10" t="s">
        <v>20</v>
      </c>
      <c r="I10" t="s">
        <v>21</v>
      </c>
      <c r="J10">
        <v>720</v>
      </c>
      <c r="K10" t="s">
        <v>37</v>
      </c>
    </row>
    <row r="11" spans="1:11" x14ac:dyDescent="0.3">
      <c r="A11">
        <v>10</v>
      </c>
      <c r="B11" t="s">
        <v>128</v>
      </c>
      <c r="C11" s="1">
        <v>285101010123</v>
      </c>
      <c r="D11" t="s">
        <v>38</v>
      </c>
      <c r="E11">
        <v>3500</v>
      </c>
      <c r="F11">
        <v>10000</v>
      </c>
      <c r="G11">
        <v>24</v>
      </c>
      <c r="H11" t="s">
        <v>39</v>
      </c>
      <c r="I11" t="s">
        <v>17</v>
      </c>
      <c r="J11">
        <v>760</v>
      </c>
      <c r="K11" t="s">
        <v>40</v>
      </c>
    </row>
    <row r="12" spans="1:11" x14ac:dyDescent="0.3">
      <c r="A12">
        <v>11</v>
      </c>
      <c r="B12" t="s">
        <v>129</v>
      </c>
      <c r="C12" s="1">
        <v>175111111234</v>
      </c>
      <c r="D12" t="s">
        <v>41</v>
      </c>
      <c r="E12">
        <v>3600</v>
      </c>
      <c r="F12">
        <v>21000</v>
      </c>
      <c r="G12">
        <v>60</v>
      </c>
      <c r="H12" t="s">
        <v>24</v>
      </c>
      <c r="I12" t="s">
        <v>13</v>
      </c>
      <c r="J12">
        <v>790</v>
      </c>
      <c r="K12" t="s">
        <v>42</v>
      </c>
    </row>
    <row r="13" spans="1:11" x14ac:dyDescent="0.3">
      <c r="A13">
        <v>12</v>
      </c>
      <c r="B13" t="s">
        <v>130</v>
      </c>
      <c r="C13" s="1">
        <v>190121212345</v>
      </c>
      <c r="D13" t="s">
        <v>43</v>
      </c>
      <c r="E13">
        <v>4800</v>
      </c>
      <c r="F13">
        <v>17000</v>
      </c>
      <c r="G13">
        <v>48</v>
      </c>
      <c r="H13" t="s">
        <v>20</v>
      </c>
      <c r="I13" t="s">
        <v>21</v>
      </c>
      <c r="J13">
        <v>820</v>
      </c>
      <c r="K13" t="s">
        <v>44</v>
      </c>
    </row>
    <row r="14" spans="1:11" x14ac:dyDescent="0.3">
      <c r="A14">
        <v>13</v>
      </c>
      <c r="B14" t="s">
        <v>131</v>
      </c>
      <c r="C14" s="1">
        <v>185131313456</v>
      </c>
      <c r="D14" t="s">
        <v>45</v>
      </c>
      <c r="E14">
        <v>3200</v>
      </c>
      <c r="F14">
        <v>11000</v>
      </c>
      <c r="G14">
        <v>36</v>
      </c>
      <c r="H14" t="s">
        <v>12</v>
      </c>
      <c r="I14" t="s">
        <v>13</v>
      </c>
      <c r="J14">
        <v>730</v>
      </c>
      <c r="K14" t="s">
        <v>46</v>
      </c>
    </row>
    <row r="15" spans="1:11" x14ac:dyDescent="0.3">
      <c r="A15">
        <v>14</v>
      </c>
      <c r="B15" t="s">
        <v>132</v>
      </c>
      <c r="C15" s="1">
        <v>280141414567</v>
      </c>
      <c r="D15" t="s">
        <v>47</v>
      </c>
      <c r="E15">
        <v>5100</v>
      </c>
      <c r="F15">
        <v>26000</v>
      </c>
      <c r="G15">
        <v>72</v>
      </c>
      <c r="H15" t="s">
        <v>29</v>
      </c>
      <c r="I15" t="s">
        <v>17</v>
      </c>
      <c r="J15">
        <v>810</v>
      </c>
      <c r="K15" t="s">
        <v>48</v>
      </c>
    </row>
    <row r="16" spans="1:11" x14ac:dyDescent="0.3">
      <c r="A16">
        <v>15</v>
      </c>
      <c r="B16" t="s">
        <v>133</v>
      </c>
      <c r="C16" s="1">
        <v>165151515678</v>
      </c>
      <c r="D16" t="s">
        <v>49</v>
      </c>
      <c r="E16">
        <v>2900</v>
      </c>
      <c r="F16">
        <v>13000</v>
      </c>
      <c r="G16">
        <v>24</v>
      </c>
      <c r="H16" t="s">
        <v>20</v>
      </c>
      <c r="I16" t="s">
        <v>21</v>
      </c>
      <c r="J16">
        <v>690</v>
      </c>
      <c r="K16" t="s">
        <v>50</v>
      </c>
    </row>
    <row r="17" spans="1:11" x14ac:dyDescent="0.3">
      <c r="A17">
        <v>16</v>
      </c>
      <c r="B17" t="s">
        <v>134</v>
      </c>
      <c r="C17" s="1">
        <v>195161616789</v>
      </c>
      <c r="D17" t="s">
        <v>51</v>
      </c>
      <c r="E17">
        <v>4300</v>
      </c>
      <c r="F17">
        <v>19000</v>
      </c>
      <c r="G17">
        <v>60</v>
      </c>
      <c r="H17" t="s">
        <v>24</v>
      </c>
      <c r="I17" t="s">
        <v>13</v>
      </c>
      <c r="J17">
        <v>780</v>
      </c>
      <c r="K17" t="s">
        <v>52</v>
      </c>
    </row>
    <row r="18" spans="1:11" x14ac:dyDescent="0.3">
      <c r="A18">
        <v>17</v>
      </c>
      <c r="B18" t="s">
        <v>135</v>
      </c>
      <c r="C18" s="1">
        <v>170171717890</v>
      </c>
      <c r="D18" t="s">
        <v>53</v>
      </c>
      <c r="E18">
        <v>3700</v>
      </c>
      <c r="F18">
        <v>23000</v>
      </c>
      <c r="G18">
        <v>48</v>
      </c>
      <c r="H18" t="s">
        <v>32</v>
      </c>
      <c r="I18" t="s">
        <v>13</v>
      </c>
      <c r="J18">
        <v>760</v>
      </c>
      <c r="K18" t="s">
        <v>54</v>
      </c>
    </row>
    <row r="19" spans="1:11" x14ac:dyDescent="0.3">
      <c r="A19">
        <v>18</v>
      </c>
      <c r="B19" t="s">
        <v>136</v>
      </c>
      <c r="C19" s="1">
        <v>185181818901</v>
      </c>
      <c r="D19" t="s">
        <v>55</v>
      </c>
      <c r="E19">
        <v>4600</v>
      </c>
      <c r="F19">
        <v>15000</v>
      </c>
      <c r="G19">
        <v>36</v>
      </c>
      <c r="H19" t="s">
        <v>20</v>
      </c>
      <c r="I19" t="s">
        <v>21</v>
      </c>
      <c r="J19">
        <v>840</v>
      </c>
      <c r="K19" t="s">
        <v>56</v>
      </c>
    </row>
    <row r="20" spans="1:11" x14ac:dyDescent="0.3">
      <c r="A20">
        <v>19</v>
      </c>
      <c r="B20" t="s">
        <v>137</v>
      </c>
      <c r="C20" s="1">
        <v>180191919012</v>
      </c>
      <c r="D20" t="s">
        <v>57</v>
      </c>
      <c r="E20">
        <v>3100</v>
      </c>
      <c r="F20">
        <v>16000</v>
      </c>
      <c r="G20">
        <v>48</v>
      </c>
      <c r="H20" t="s">
        <v>12</v>
      </c>
      <c r="I20" t="s">
        <v>13</v>
      </c>
      <c r="J20">
        <v>710</v>
      </c>
      <c r="K20" t="s">
        <v>58</v>
      </c>
    </row>
    <row r="21" spans="1:11" x14ac:dyDescent="0.3">
      <c r="A21">
        <v>20</v>
      </c>
      <c r="B21" t="s">
        <v>138</v>
      </c>
      <c r="C21" s="1">
        <v>290202020123</v>
      </c>
      <c r="D21" t="s">
        <v>59</v>
      </c>
      <c r="E21">
        <v>3600</v>
      </c>
      <c r="F21">
        <v>12000</v>
      </c>
      <c r="G21">
        <v>24</v>
      </c>
      <c r="H21" t="s">
        <v>39</v>
      </c>
      <c r="I21" t="s">
        <v>17</v>
      </c>
      <c r="J21">
        <v>780</v>
      </c>
      <c r="K21" t="s">
        <v>60</v>
      </c>
    </row>
    <row r="22" spans="1:11" x14ac:dyDescent="0.3">
      <c r="A22">
        <v>21</v>
      </c>
      <c r="B22" t="s">
        <v>139</v>
      </c>
      <c r="C22" s="1">
        <v>180212121234</v>
      </c>
      <c r="D22" t="s">
        <v>61</v>
      </c>
      <c r="E22">
        <v>3400</v>
      </c>
      <c r="F22">
        <v>21000</v>
      </c>
      <c r="G22">
        <v>60</v>
      </c>
      <c r="H22" t="s">
        <v>20</v>
      </c>
      <c r="I22" t="s">
        <v>21</v>
      </c>
      <c r="J22">
        <v>750</v>
      </c>
      <c r="K22" t="s">
        <v>62</v>
      </c>
    </row>
    <row r="23" spans="1:11" x14ac:dyDescent="0.3">
      <c r="A23">
        <v>22</v>
      </c>
      <c r="B23" t="s">
        <v>140</v>
      </c>
      <c r="C23" s="1">
        <v>285222222345</v>
      </c>
      <c r="D23" t="s">
        <v>63</v>
      </c>
      <c r="E23">
        <v>4900</v>
      </c>
      <c r="F23">
        <v>14000</v>
      </c>
      <c r="G23">
        <v>48</v>
      </c>
      <c r="H23" t="s">
        <v>16</v>
      </c>
      <c r="I23" t="s">
        <v>17</v>
      </c>
      <c r="J23">
        <v>830</v>
      </c>
      <c r="K23" t="s">
        <v>64</v>
      </c>
    </row>
    <row r="24" spans="1:11" x14ac:dyDescent="0.3">
      <c r="A24">
        <v>23</v>
      </c>
      <c r="B24" t="s">
        <v>141</v>
      </c>
      <c r="C24" s="1">
        <v>175232323456</v>
      </c>
      <c r="D24" t="s">
        <v>65</v>
      </c>
      <c r="E24">
        <v>3000</v>
      </c>
      <c r="F24">
        <v>10000</v>
      </c>
      <c r="G24">
        <v>36</v>
      </c>
      <c r="H24" t="s">
        <v>20</v>
      </c>
      <c r="I24" t="s">
        <v>21</v>
      </c>
      <c r="J24">
        <v>690</v>
      </c>
      <c r="K24" t="s">
        <v>66</v>
      </c>
    </row>
    <row r="25" spans="1:11" x14ac:dyDescent="0.3">
      <c r="A25">
        <v>24</v>
      </c>
      <c r="B25" t="s">
        <v>142</v>
      </c>
      <c r="C25" s="1">
        <v>190242424567</v>
      </c>
      <c r="D25" t="s">
        <v>19</v>
      </c>
      <c r="E25">
        <v>5400</v>
      </c>
      <c r="F25">
        <v>25000</v>
      </c>
      <c r="G25">
        <v>72</v>
      </c>
      <c r="H25" t="s">
        <v>24</v>
      </c>
      <c r="I25" t="s">
        <v>13</v>
      </c>
      <c r="J25">
        <v>820</v>
      </c>
      <c r="K25" t="s">
        <v>67</v>
      </c>
    </row>
    <row r="26" spans="1:11" x14ac:dyDescent="0.3">
      <c r="A26">
        <v>25</v>
      </c>
      <c r="B26" t="s">
        <v>143</v>
      </c>
      <c r="C26" s="1">
        <v>170252525678</v>
      </c>
      <c r="D26" t="s">
        <v>68</v>
      </c>
      <c r="E26">
        <v>3300</v>
      </c>
      <c r="F26">
        <v>11000</v>
      </c>
      <c r="G26">
        <v>24</v>
      </c>
      <c r="H26" t="s">
        <v>20</v>
      </c>
      <c r="I26" t="s">
        <v>21</v>
      </c>
      <c r="J26">
        <v>700</v>
      </c>
      <c r="K26" t="s">
        <v>69</v>
      </c>
    </row>
    <row r="27" spans="1:11" x14ac:dyDescent="0.3">
      <c r="A27">
        <v>26</v>
      </c>
      <c r="B27" t="s">
        <v>144</v>
      </c>
      <c r="C27" s="1">
        <v>185262626789</v>
      </c>
      <c r="D27" t="s">
        <v>70</v>
      </c>
      <c r="E27">
        <v>4100</v>
      </c>
      <c r="F27">
        <v>18000</v>
      </c>
      <c r="G27">
        <v>60</v>
      </c>
      <c r="H27" t="s">
        <v>29</v>
      </c>
      <c r="I27" t="s">
        <v>17</v>
      </c>
      <c r="J27">
        <v>760</v>
      </c>
      <c r="K27" t="s">
        <v>71</v>
      </c>
    </row>
    <row r="28" spans="1:11" x14ac:dyDescent="0.3">
      <c r="A28">
        <v>27</v>
      </c>
      <c r="B28" t="s">
        <v>145</v>
      </c>
      <c r="C28" s="1">
        <v>190272727890</v>
      </c>
      <c r="D28" t="s">
        <v>72</v>
      </c>
      <c r="E28">
        <v>3900</v>
      </c>
      <c r="F28">
        <v>22000</v>
      </c>
      <c r="G28">
        <v>48</v>
      </c>
      <c r="H28" t="s">
        <v>32</v>
      </c>
      <c r="I28" t="s">
        <v>13</v>
      </c>
      <c r="J28">
        <v>740</v>
      </c>
      <c r="K28" t="s">
        <v>73</v>
      </c>
    </row>
    <row r="29" spans="1:11" x14ac:dyDescent="0.3">
      <c r="A29">
        <v>28</v>
      </c>
      <c r="B29" t="s">
        <v>146</v>
      </c>
      <c r="C29" s="1">
        <v>185282828901</v>
      </c>
      <c r="D29" t="s">
        <v>74</v>
      </c>
      <c r="E29">
        <v>4700</v>
      </c>
      <c r="F29">
        <v>20000</v>
      </c>
      <c r="G29">
        <v>36</v>
      </c>
      <c r="H29" t="s">
        <v>20</v>
      </c>
      <c r="I29" t="s">
        <v>21</v>
      </c>
      <c r="J29">
        <v>810</v>
      </c>
      <c r="K29" t="s">
        <v>75</v>
      </c>
    </row>
    <row r="30" spans="1:11" x14ac:dyDescent="0.3">
      <c r="A30">
        <v>29</v>
      </c>
      <c r="B30" t="s">
        <v>147</v>
      </c>
      <c r="C30" s="1">
        <v>175292929012</v>
      </c>
      <c r="D30" t="s">
        <v>76</v>
      </c>
      <c r="E30">
        <v>3200</v>
      </c>
      <c r="F30">
        <v>14000</v>
      </c>
      <c r="G30">
        <v>48</v>
      </c>
      <c r="H30" t="s">
        <v>20</v>
      </c>
      <c r="I30" t="s">
        <v>21</v>
      </c>
      <c r="J30">
        <v>720</v>
      </c>
      <c r="K30" t="s">
        <v>77</v>
      </c>
    </row>
    <row r="31" spans="1:11" x14ac:dyDescent="0.3">
      <c r="A31">
        <v>30</v>
      </c>
      <c r="B31" t="s">
        <v>148</v>
      </c>
      <c r="C31" s="1">
        <v>285303030123</v>
      </c>
      <c r="D31" t="s">
        <v>78</v>
      </c>
      <c r="E31">
        <v>3500</v>
      </c>
      <c r="F31">
        <v>10000</v>
      </c>
      <c r="G31">
        <v>24</v>
      </c>
      <c r="H31" t="s">
        <v>39</v>
      </c>
      <c r="I31" t="s">
        <v>17</v>
      </c>
      <c r="J31">
        <v>760</v>
      </c>
      <c r="K31" t="s">
        <v>79</v>
      </c>
    </row>
    <row r="32" spans="1:11" x14ac:dyDescent="0.3">
      <c r="A32">
        <v>31</v>
      </c>
      <c r="B32" t="s">
        <v>149</v>
      </c>
      <c r="C32" s="1">
        <v>180313131234</v>
      </c>
      <c r="D32" t="s">
        <v>80</v>
      </c>
      <c r="E32">
        <v>3600</v>
      </c>
      <c r="F32">
        <v>21000</v>
      </c>
      <c r="G32">
        <v>60</v>
      </c>
      <c r="H32" t="s">
        <v>24</v>
      </c>
      <c r="I32" t="s">
        <v>13</v>
      </c>
      <c r="J32">
        <v>790</v>
      </c>
      <c r="K32" t="s">
        <v>81</v>
      </c>
    </row>
    <row r="33" spans="1:11" x14ac:dyDescent="0.3">
      <c r="A33">
        <v>32</v>
      </c>
      <c r="B33" t="s">
        <v>150</v>
      </c>
      <c r="C33" s="1">
        <v>290323232345</v>
      </c>
      <c r="D33" t="s">
        <v>61</v>
      </c>
      <c r="E33">
        <v>5000</v>
      </c>
      <c r="F33">
        <v>17000</v>
      </c>
      <c r="G33">
        <v>48</v>
      </c>
      <c r="H33" t="s">
        <v>20</v>
      </c>
      <c r="I33" t="s">
        <v>21</v>
      </c>
      <c r="J33">
        <v>820</v>
      </c>
      <c r="K33" t="s">
        <v>82</v>
      </c>
    </row>
    <row r="34" spans="1:11" x14ac:dyDescent="0.3">
      <c r="A34">
        <v>33</v>
      </c>
      <c r="B34" t="s">
        <v>151</v>
      </c>
      <c r="C34" s="1">
        <v>185333333456</v>
      </c>
      <c r="D34" t="s">
        <v>83</v>
      </c>
      <c r="E34">
        <v>3100</v>
      </c>
      <c r="F34">
        <v>11000</v>
      </c>
      <c r="G34">
        <v>36</v>
      </c>
      <c r="H34" t="s">
        <v>12</v>
      </c>
      <c r="I34" t="s">
        <v>13</v>
      </c>
      <c r="J34">
        <v>730</v>
      </c>
      <c r="K34" t="s">
        <v>84</v>
      </c>
    </row>
    <row r="35" spans="1:11" x14ac:dyDescent="0.3">
      <c r="A35">
        <v>34</v>
      </c>
      <c r="B35" t="s">
        <v>152</v>
      </c>
      <c r="C35" s="1">
        <v>275343434567</v>
      </c>
      <c r="D35" t="s">
        <v>85</v>
      </c>
      <c r="E35">
        <v>5400</v>
      </c>
      <c r="F35">
        <v>26000</v>
      </c>
      <c r="G35">
        <v>72</v>
      </c>
      <c r="H35" t="s">
        <v>29</v>
      </c>
      <c r="I35" t="s">
        <v>17</v>
      </c>
      <c r="J35">
        <v>810</v>
      </c>
      <c r="K35" t="s">
        <v>86</v>
      </c>
    </row>
    <row r="36" spans="1:11" x14ac:dyDescent="0.3">
      <c r="A36">
        <v>35</v>
      </c>
      <c r="B36" t="s">
        <v>153</v>
      </c>
      <c r="C36" s="1">
        <v>170353535678</v>
      </c>
      <c r="D36" t="s">
        <v>87</v>
      </c>
      <c r="E36">
        <v>2900</v>
      </c>
      <c r="F36">
        <v>13000</v>
      </c>
      <c r="G36">
        <v>24</v>
      </c>
      <c r="H36" t="s">
        <v>20</v>
      </c>
      <c r="I36" t="s">
        <v>21</v>
      </c>
      <c r="J36">
        <v>690</v>
      </c>
      <c r="K36" t="s">
        <v>88</v>
      </c>
    </row>
    <row r="37" spans="1:11" x14ac:dyDescent="0.3">
      <c r="A37">
        <v>36</v>
      </c>
      <c r="B37" t="s">
        <v>154</v>
      </c>
      <c r="C37" s="1">
        <v>195363636789</v>
      </c>
      <c r="D37" t="s">
        <v>89</v>
      </c>
      <c r="E37">
        <v>4300</v>
      </c>
      <c r="F37">
        <v>19000</v>
      </c>
      <c r="G37">
        <v>60</v>
      </c>
      <c r="H37" t="s">
        <v>24</v>
      </c>
      <c r="I37" t="s">
        <v>13</v>
      </c>
      <c r="J37">
        <v>780</v>
      </c>
      <c r="K37" t="s">
        <v>90</v>
      </c>
    </row>
    <row r="38" spans="1:11" x14ac:dyDescent="0.3">
      <c r="A38">
        <v>37</v>
      </c>
      <c r="B38" t="s">
        <v>155</v>
      </c>
      <c r="C38" s="1">
        <v>180373737890</v>
      </c>
      <c r="D38" t="s">
        <v>91</v>
      </c>
      <c r="E38">
        <v>3700</v>
      </c>
      <c r="F38">
        <v>23000</v>
      </c>
      <c r="G38">
        <v>48</v>
      </c>
      <c r="H38" t="s">
        <v>32</v>
      </c>
      <c r="I38" t="s">
        <v>13</v>
      </c>
      <c r="J38">
        <v>760</v>
      </c>
      <c r="K38" t="s">
        <v>92</v>
      </c>
    </row>
    <row r="39" spans="1:11" x14ac:dyDescent="0.3">
      <c r="A39">
        <v>38</v>
      </c>
      <c r="B39" t="s">
        <v>156</v>
      </c>
      <c r="C39" s="1">
        <v>185383838901</v>
      </c>
      <c r="D39" t="s">
        <v>93</v>
      </c>
      <c r="E39">
        <v>4600</v>
      </c>
      <c r="F39">
        <v>15000</v>
      </c>
      <c r="G39">
        <v>36</v>
      </c>
      <c r="H39" t="s">
        <v>20</v>
      </c>
      <c r="I39" t="s">
        <v>21</v>
      </c>
      <c r="J39">
        <v>840</v>
      </c>
      <c r="K39" t="s">
        <v>94</v>
      </c>
    </row>
    <row r="40" spans="1:11" x14ac:dyDescent="0.3">
      <c r="A40">
        <v>39</v>
      </c>
      <c r="B40" t="s">
        <v>157</v>
      </c>
      <c r="C40" s="1">
        <v>175393939012</v>
      </c>
      <c r="D40" t="s">
        <v>95</v>
      </c>
      <c r="E40">
        <v>3100</v>
      </c>
      <c r="F40">
        <v>16000</v>
      </c>
      <c r="G40">
        <v>48</v>
      </c>
      <c r="H40" t="s">
        <v>12</v>
      </c>
      <c r="I40" t="s">
        <v>13</v>
      </c>
      <c r="J40">
        <v>710</v>
      </c>
      <c r="K40" t="s">
        <v>96</v>
      </c>
    </row>
    <row r="41" spans="1:11" x14ac:dyDescent="0.3">
      <c r="A41">
        <v>40</v>
      </c>
      <c r="B41" t="s">
        <v>158</v>
      </c>
      <c r="C41" s="1">
        <v>285404040123</v>
      </c>
      <c r="D41" t="s">
        <v>97</v>
      </c>
      <c r="E41">
        <v>3600</v>
      </c>
      <c r="F41">
        <v>12000</v>
      </c>
      <c r="G41">
        <v>24</v>
      </c>
      <c r="H41" t="s">
        <v>39</v>
      </c>
      <c r="I41" t="s">
        <v>17</v>
      </c>
      <c r="J41">
        <v>780</v>
      </c>
      <c r="K41" t="s">
        <v>98</v>
      </c>
    </row>
    <row r="42" spans="1:11" x14ac:dyDescent="0.3">
      <c r="A42">
        <v>41</v>
      </c>
      <c r="B42" t="s">
        <v>159</v>
      </c>
      <c r="C42" s="1">
        <v>175414141234</v>
      </c>
      <c r="D42" t="s">
        <v>99</v>
      </c>
      <c r="E42">
        <v>3400</v>
      </c>
      <c r="F42">
        <v>21000</v>
      </c>
      <c r="G42">
        <v>60</v>
      </c>
      <c r="H42" t="s">
        <v>20</v>
      </c>
      <c r="I42" t="s">
        <v>21</v>
      </c>
      <c r="J42">
        <v>750</v>
      </c>
      <c r="K42" t="s">
        <v>100</v>
      </c>
    </row>
    <row r="43" spans="1:11" x14ac:dyDescent="0.3">
      <c r="A43">
        <v>42</v>
      </c>
      <c r="B43" t="s">
        <v>160</v>
      </c>
      <c r="C43" s="1">
        <v>190424242345</v>
      </c>
      <c r="D43" t="s">
        <v>101</v>
      </c>
      <c r="E43">
        <v>4900</v>
      </c>
      <c r="F43">
        <v>14000</v>
      </c>
      <c r="G43">
        <v>48</v>
      </c>
      <c r="H43" t="s">
        <v>16</v>
      </c>
      <c r="I43" t="s">
        <v>17</v>
      </c>
      <c r="J43">
        <v>830</v>
      </c>
      <c r="K43" t="s">
        <v>102</v>
      </c>
    </row>
    <row r="44" spans="1:11" x14ac:dyDescent="0.3">
      <c r="A44">
        <v>43</v>
      </c>
      <c r="B44" t="s">
        <v>161</v>
      </c>
      <c r="C44" s="1">
        <v>185434343456</v>
      </c>
      <c r="D44" t="s">
        <v>103</v>
      </c>
      <c r="E44">
        <v>3000</v>
      </c>
      <c r="F44">
        <v>10000</v>
      </c>
      <c r="G44">
        <v>36</v>
      </c>
      <c r="H44" t="s">
        <v>20</v>
      </c>
      <c r="I44" t="s">
        <v>21</v>
      </c>
      <c r="J44">
        <v>690</v>
      </c>
      <c r="K44" t="s">
        <v>104</v>
      </c>
    </row>
    <row r="45" spans="1:11" x14ac:dyDescent="0.3">
      <c r="A45">
        <v>44</v>
      </c>
      <c r="B45" t="s">
        <v>162</v>
      </c>
      <c r="C45" s="1">
        <v>190444444567</v>
      </c>
      <c r="D45" t="s">
        <v>105</v>
      </c>
      <c r="E45">
        <v>5400</v>
      </c>
      <c r="F45">
        <v>25000</v>
      </c>
      <c r="G45">
        <v>72</v>
      </c>
      <c r="H45" t="s">
        <v>24</v>
      </c>
      <c r="I45" t="s">
        <v>13</v>
      </c>
      <c r="J45">
        <v>820</v>
      </c>
      <c r="K45" t="s">
        <v>106</v>
      </c>
    </row>
    <row r="46" spans="1:11" x14ac:dyDescent="0.3">
      <c r="A46">
        <v>45</v>
      </c>
      <c r="B46" t="s">
        <v>163</v>
      </c>
      <c r="C46" s="1">
        <v>170454545678</v>
      </c>
      <c r="D46" t="s">
        <v>107</v>
      </c>
      <c r="E46">
        <v>3300</v>
      </c>
      <c r="F46">
        <v>11000</v>
      </c>
      <c r="G46">
        <v>24</v>
      </c>
      <c r="H46" t="s">
        <v>20</v>
      </c>
      <c r="I46" t="s">
        <v>21</v>
      </c>
      <c r="J46">
        <v>700</v>
      </c>
      <c r="K46" t="s">
        <v>108</v>
      </c>
    </row>
    <row r="47" spans="1:11" x14ac:dyDescent="0.3">
      <c r="A47">
        <v>46</v>
      </c>
      <c r="B47" t="s">
        <v>164</v>
      </c>
      <c r="C47" s="1">
        <v>185464646789</v>
      </c>
      <c r="D47" t="s">
        <v>109</v>
      </c>
      <c r="E47">
        <v>4100</v>
      </c>
      <c r="F47">
        <v>18000</v>
      </c>
      <c r="G47">
        <v>60</v>
      </c>
      <c r="H47" t="s">
        <v>29</v>
      </c>
      <c r="I47" t="s">
        <v>17</v>
      </c>
      <c r="J47">
        <v>760</v>
      </c>
      <c r="K47" t="s">
        <v>110</v>
      </c>
    </row>
    <row r="48" spans="1:11" x14ac:dyDescent="0.3">
      <c r="A48">
        <v>47</v>
      </c>
      <c r="B48" t="s">
        <v>165</v>
      </c>
      <c r="C48" s="1">
        <v>180474747890</v>
      </c>
      <c r="D48" t="s">
        <v>111</v>
      </c>
      <c r="E48">
        <v>3900</v>
      </c>
      <c r="F48">
        <v>22000</v>
      </c>
      <c r="G48">
        <v>48</v>
      </c>
      <c r="H48" t="s">
        <v>32</v>
      </c>
      <c r="I48" t="s">
        <v>13</v>
      </c>
      <c r="J48">
        <v>740</v>
      </c>
      <c r="K48" t="s">
        <v>112</v>
      </c>
    </row>
    <row r="49" spans="1:11" x14ac:dyDescent="0.3">
      <c r="A49">
        <v>48</v>
      </c>
      <c r="B49" t="s">
        <v>166</v>
      </c>
      <c r="C49" s="1">
        <v>185484848901</v>
      </c>
      <c r="D49" t="s">
        <v>113</v>
      </c>
      <c r="E49">
        <v>4700</v>
      </c>
      <c r="F49">
        <v>20000</v>
      </c>
      <c r="G49">
        <v>36</v>
      </c>
      <c r="H49" t="s">
        <v>20</v>
      </c>
      <c r="I49" t="s">
        <v>21</v>
      </c>
      <c r="J49">
        <v>810</v>
      </c>
      <c r="K49" t="s">
        <v>114</v>
      </c>
    </row>
    <row r="50" spans="1:11" x14ac:dyDescent="0.3">
      <c r="A50">
        <v>49</v>
      </c>
      <c r="B50" t="s">
        <v>167</v>
      </c>
      <c r="C50" s="1">
        <v>175494949012</v>
      </c>
      <c r="D50" t="s">
        <v>115</v>
      </c>
      <c r="E50">
        <v>3200</v>
      </c>
      <c r="F50">
        <v>14000</v>
      </c>
      <c r="G50">
        <v>48</v>
      </c>
      <c r="H50" t="s">
        <v>20</v>
      </c>
      <c r="I50" t="s">
        <v>21</v>
      </c>
      <c r="J50">
        <v>720</v>
      </c>
      <c r="K50" t="s">
        <v>116</v>
      </c>
    </row>
    <row r="51" spans="1:11" x14ac:dyDescent="0.3">
      <c r="A51">
        <v>50</v>
      </c>
      <c r="B51" t="s">
        <v>168</v>
      </c>
      <c r="C51" s="1">
        <v>290505050123</v>
      </c>
      <c r="D51" t="s">
        <v>117</v>
      </c>
      <c r="E51">
        <v>3500</v>
      </c>
      <c r="F51">
        <v>10000</v>
      </c>
      <c r="G51">
        <v>24</v>
      </c>
      <c r="H51" t="s">
        <v>39</v>
      </c>
      <c r="I51" t="s">
        <v>17</v>
      </c>
      <c r="J51">
        <v>760</v>
      </c>
      <c r="K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F90A-9324-4BEA-BEE6-E5C08B5F1CBE}">
  <dimension ref="A1:C51"/>
  <sheetViews>
    <sheetView tabSelected="1" workbookViewId="0">
      <selection activeCell="E10" sqref="E10"/>
    </sheetView>
  </sheetViews>
  <sheetFormatPr defaultRowHeight="14.4" x14ac:dyDescent="0.3"/>
  <cols>
    <col min="1" max="1" width="18.44140625" customWidth="1"/>
    <col min="2" max="2" width="15" customWidth="1"/>
    <col min="3" max="3" width="15.88671875" bestFit="1" customWidth="1"/>
  </cols>
  <sheetData>
    <row r="1" spans="1:3" x14ac:dyDescent="0.3">
      <c r="A1" t="s">
        <v>1</v>
      </c>
      <c r="B1" t="s">
        <v>9</v>
      </c>
      <c r="C1" t="s">
        <v>169</v>
      </c>
    </row>
    <row r="2" spans="1:3" x14ac:dyDescent="0.3">
      <c r="A2" t="s">
        <v>119</v>
      </c>
      <c r="B2">
        <f>VLOOKUP(A2,Cereri!$B$2:$J$51,9,0)</f>
        <v>750</v>
      </c>
      <c r="C2" t="s">
        <v>170</v>
      </c>
    </row>
    <row r="3" spans="1:3" x14ac:dyDescent="0.3">
      <c r="A3" t="s">
        <v>120</v>
      </c>
      <c r="B3">
        <f>VLOOKUP(A3,Cereri!$B$2:$J$51,9,0)</f>
        <v>800</v>
      </c>
      <c r="C3" t="s">
        <v>170</v>
      </c>
    </row>
    <row r="4" spans="1:3" x14ac:dyDescent="0.3">
      <c r="A4" t="s">
        <v>121</v>
      </c>
      <c r="B4">
        <f>VLOOKUP(A4,Cereri!$B$2:$J$51,9,0)</f>
        <v>700</v>
      </c>
      <c r="C4" t="s">
        <v>170</v>
      </c>
    </row>
    <row r="5" spans="1:3" x14ac:dyDescent="0.3">
      <c r="A5" t="s">
        <v>122</v>
      </c>
      <c r="B5">
        <f>VLOOKUP(A5,Cereri!$B$2:$J$51,9,0)</f>
        <v>820</v>
      </c>
      <c r="C5" t="s">
        <v>170</v>
      </c>
    </row>
    <row r="6" spans="1:3" x14ac:dyDescent="0.3">
      <c r="A6" t="s">
        <v>123</v>
      </c>
      <c r="B6">
        <f>VLOOKUP(A6,Cereri!$B$2:$J$51,9,0)</f>
        <v>680</v>
      </c>
      <c r="C6" t="s">
        <v>170</v>
      </c>
    </row>
    <row r="7" spans="1:3" x14ac:dyDescent="0.3">
      <c r="A7" t="s">
        <v>124</v>
      </c>
      <c r="B7">
        <f>VLOOKUP(A7,Cereri!$B$2:$J$51,9,0)</f>
        <v>780</v>
      </c>
      <c r="C7" t="s">
        <v>170</v>
      </c>
    </row>
    <row r="8" spans="1:3" x14ac:dyDescent="0.3">
      <c r="A8" t="s">
        <v>125</v>
      </c>
      <c r="B8">
        <f>VLOOKUP(A8,Cereri!$B$2:$J$51,9,0)</f>
        <v>770</v>
      </c>
      <c r="C8" t="s">
        <v>170</v>
      </c>
    </row>
    <row r="9" spans="1:3" x14ac:dyDescent="0.3">
      <c r="A9" t="s">
        <v>126</v>
      </c>
      <c r="B9">
        <f>VLOOKUP(A9,Cereri!$B$2:$J$51,9,0)</f>
        <v>830</v>
      </c>
      <c r="C9" t="s">
        <v>170</v>
      </c>
    </row>
    <row r="10" spans="1:3" x14ac:dyDescent="0.3">
      <c r="A10" t="s">
        <v>127</v>
      </c>
      <c r="B10">
        <f>VLOOKUP(A10,Cereri!$B$2:$J$51,9,0)</f>
        <v>720</v>
      </c>
      <c r="C10" t="s">
        <v>170</v>
      </c>
    </row>
    <row r="11" spans="1:3" x14ac:dyDescent="0.3">
      <c r="A11" t="s">
        <v>128</v>
      </c>
      <c r="B11">
        <f>VLOOKUP(A11,Cereri!$B$2:$J$51,9,0)</f>
        <v>760</v>
      </c>
      <c r="C11" t="s">
        <v>170</v>
      </c>
    </row>
    <row r="12" spans="1:3" x14ac:dyDescent="0.3">
      <c r="A12" t="s">
        <v>129</v>
      </c>
      <c r="B12">
        <f>VLOOKUP(A12,Cereri!$B$2:$J$51,9,0)</f>
        <v>790</v>
      </c>
      <c r="C12" t="s">
        <v>170</v>
      </c>
    </row>
    <row r="13" spans="1:3" x14ac:dyDescent="0.3">
      <c r="A13" t="s">
        <v>130</v>
      </c>
      <c r="B13">
        <f>VLOOKUP(A13,Cereri!$B$2:$J$51,9,0)</f>
        <v>820</v>
      </c>
      <c r="C13" t="s">
        <v>170</v>
      </c>
    </row>
    <row r="14" spans="1:3" x14ac:dyDescent="0.3">
      <c r="A14" t="s">
        <v>131</v>
      </c>
      <c r="B14">
        <f>VLOOKUP(A14,Cereri!$B$2:$J$51,9,0)</f>
        <v>730</v>
      </c>
      <c r="C14" t="s">
        <v>170</v>
      </c>
    </row>
    <row r="15" spans="1:3" x14ac:dyDescent="0.3">
      <c r="A15" t="s">
        <v>132</v>
      </c>
      <c r="B15">
        <f>VLOOKUP(A15,Cereri!$B$2:$J$51,9,0)</f>
        <v>810</v>
      </c>
      <c r="C15" t="s">
        <v>170</v>
      </c>
    </row>
    <row r="16" spans="1:3" x14ac:dyDescent="0.3">
      <c r="A16" t="s">
        <v>133</v>
      </c>
      <c r="B16">
        <f>VLOOKUP(A16,Cereri!$B$2:$J$51,9,0)</f>
        <v>690</v>
      </c>
      <c r="C16" t="s">
        <v>170</v>
      </c>
    </row>
    <row r="17" spans="1:3" x14ac:dyDescent="0.3">
      <c r="A17" t="s">
        <v>134</v>
      </c>
      <c r="B17">
        <f>VLOOKUP(A17,Cereri!$B$2:$J$51,9,0)</f>
        <v>780</v>
      </c>
      <c r="C17" t="s">
        <v>170</v>
      </c>
    </row>
    <row r="18" spans="1:3" x14ac:dyDescent="0.3">
      <c r="A18" t="s">
        <v>135</v>
      </c>
      <c r="B18">
        <f>VLOOKUP(A18,Cereri!$B$2:$J$51,9,0)</f>
        <v>760</v>
      </c>
      <c r="C18" t="s">
        <v>170</v>
      </c>
    </row>
    <row r="19" spans="1:3" x14ac:dyDescent="0.3">
      <c r="A19" t="s">
        <v>136</v>
      </c>
      <c r="B19">
        <f>VLOOKUP(A19,Cereri!$B$2:$J$51,9,0)</f>
        <v>840</v>
      </c>
      <c r="C19" t="s">
        <v>170</v>
      </c>
    </row>
    <row r="20" spans="1:3" x14ac:dyDescent="0.3">
      <c r="A20" t="s">
        <v>137</v>
      </c>
      <c r="B20">
        <f>VLOOKUP(A20,Cereri!$B$2:$J$51,9,0)</f>
        <v>710</v>
      </c>
      <c r="C20" t="s">
        <v>170</v>
      </c>
    </row>
    <row r="21" spans="1:3" x14ac:dyDescent="0.3">
      <c r="A21" t="s">
        <v>138</v>
      </c>
      <c r="B21">
        <f>VLOOKUP(A21,Cereri!$B$2:$J$51,9,0)</f>
        <v>780</v>
      </c>
      <c r="C21" t="s">
        <v>170</v>
      </c>
    </row>
    <row r="22" spans="1:3" x14ac:dyDescent="0.3">
      <c r="A22" t="s">
        <v>139</v>
      </c>
      <c r="B22">
        <f>VLOOKUP(A22,Cereri!$B$2:$J$51,9,0)</f>
        <v>750</v>
      </c>
      <c r="C22" t="s">
        <v>170</v>
      </c>
    </row>
    <row r="23" spans="1:3" x14ac:dyDescent="0.3">
      <c r="A23" t="s">
        <v>140</v>
      </c>
      <c r="B23">
        <f>VLOOKUP(A23,Cereri!$B$2:$J$51,9,0)</f>
        <v>830</v>
      </c>
      <c r="C23" t="s">
        <v>170</v>
      </c>
    </row>
    <row r="24" spans="1:3" x14ac:dyDescent="0.3">
      <c r="A24" t="s">
        <v>141</v>
      </c>
      <c r="B24">
        <f>VLOOKUP(A24,Cereri!$B$2:$J$51,9,0)</f>
        <v>690</v>
      </c>
      <c r="C24" t="s">
        <v>170</v>
      </c>
    </row>
    <row r="25" spans="1:3" x14ac:dyDescent="0.3">
      <c r="A25" t="s">
        <v>142</v>
      </c>
      <c r="B25">
        <f>VLOOKUP(A25,Cereri!$B$2:$J$51,9,0)</f>
        <v>820</v>
      </c>
      <c r="C25" t="s">
        <v>170</v>
      </c>
    </row>
    <row r="26" spans="1:3" x14ac:dyDescent="0.3">
      <c r="A26" t="s">
        <v>143</v>
      </c>
      <c r="B26">
        <f>VLOOKUP(A26,Cereri!$B$2:$J$51,9,0)</f>
        <v>700</v>
      </c>
      <c r="C26" t="s">
        <v>170</v>
      </c>
    </row>
    <row r="27" spans="1:3" x14ac:dyDescent="0.3">
      <c r="A27" t="s">
        <v>144</v>
      </c>
      <c r="B27">
        <f>VLOOKUP(A27,Cereri!$B$2:$J$51,9,0)</f>
        <v>760</v>
      </c>
      <c r="C27" t="s">
        <v>170</v>
      </c>
    </row>
    <row r="28" spans="1:3" x14ac:dyDescent="0.3">
      <c r="A28" t="s">
        <v>145</v>
      </c>
      <c r="B28">
        <f>VLOOKUP(A28,Cereri!$B$2:$J$51,9,0)</f>
        <v>740</v>
      </c>
      <c r="C28" t="s">
        <v>170</v>
      </c>
    </row>
    <row r="29" spans="1:3" x14ac:dyDescent="0.3">
      <c r="A29" t="s">
        <v>146</v>
      </c>
      <c r="B29">
        <f>VLOOKUP(A29,Cereri!$B$2:$J$51,9,0)</f>
        <v>810</v>
      </c>
      <c r="C29" t="s">
        <v>170</v>
      </c>
    </row>
    <row r="30" spans="1:3" x14ac:dyDescent="0.3">
      <c r="A30" t="s">
        <v>147</v>
      </c>
      <c r="B30">
        <f>VLOOKUP(A30,Cereri!$B$2:$J$51,9,0)</f>
        <v>720</v>
      </c>
      <c r="C30" t="s">
        <v>170</v>
      </c>
    </row>
    <row r="31" spans="1:3" x14ac:dyDescent="0.3">
      <c r="A31" t="s">
        <v>148</v>
      </c>
      <c r="B31">
        <f>VLOOKUP(A31,Cereri!$B$2:$J$51,9,0)</f>
        <v>760</v>
      </c>
      <c r="C31" t="s">
        <v>170</v>
      </c>
    </row>
    <row r="32" spans="1:3" x14ac:dyDescent="0.3">
      <c r="A32" t="s">
        <v>149</v>
      </c>
      <c r="B32">
        <f>VLOOKUP(A32,Cereri!$B$2:$J$51,9,0)</f>
        <v>790</v>
      </c>
      <c r="C32" t="s">
        <v>170</v>
      </c>
    </row>
    <row r="33" spans="1:3" x14ac:dyDescent="0.3">
      <c r="A33" t="s">
        <v>150</v>
      </c>
      <c r="B33">
        <f>VLOOKUP(A33,Cereri!$B$2:$J$51,9,0)</f>
        <v>820</v>
      </c>
      <c r="C33" t="s">
        <v>170</v>
      </c>
    </row>
    <row r="34" spans="1:3" x14ac:dyDescent="0.3">
      <c r="A34" t="s">
        <v>151</v>
      </c>
      <c r="B34">
        <f>VLOOKUP(A34,Cereri!$B$2:$J$51,9,0)</f>
        <v>730</v>
      </c>
      <c r="C34" t="s">
        <v>170</v>
      </c>
    </row>
    <row r="35" spans="1:3" x14ac:dyDescent="0.3">
      <c r="A35" t="s">
        <v>152</v>
      </c>
      <c r="B35">
        <f>VLOOKUP(A35,Cereri!$B$2:$J$51,9,0)</f>
        <v>810</v>
      </c>
      <c r="C35" t="s">
        <v>170</v>
      </c>
    </row>
    <row r="36" spans="1:3" x14ac:dyDescent="0.3">
      <c r="A36" t="s">
        <v>153</v>
      </c>
      <c r="B36">
        <f>VLOOKUP(A36,Cereri!$B$2:$J$51,9,0)</f>
        <v>690</v>
      </c>
      <c r="C36" t="s">
        <v>170</v>
      </c>
    </row>
    <row r="37" spans="1:3" x14ac:dyDescent="0.3">
      <c r="A37" t="s">
        <v>154</v>
      </c>
      <c r="B37">
        <f>VLOOKUP(A37,Cereri!$B$2:$J$51,9,0)</f>
        <v>780</v>
      </c>
      <c r="C37" t="s">
        <v>170</v>
      </c>
    </row>
    <row r="38" spans="1:3" x14ac:dyDescent="0.3">
      <c r="A38" t="s">
        <v>155</v>
      </c>
      <c r="B38">
        <f>VLOOKUP(A38,Cereri!$B$2:$J$51,9,0)</f>
        <v>760</v>
      </c>
      <c r="C38" t="s">
        <v>170</v>
      </c>
    </row>
    <row r="39" spans="1:3" x14ac:dyDescent="0.3">
      <c r="A39" t="s">
        <v>156</v>
      </c>
      <c r="B39">
        <f>VLOOKUP(A39,Cereri!$B$2:$J$51,9,0)</f>
        <v>840</v>
      </c>
      <c r="C39" t="s">
        <v>170</v>
      </c>
    </row>
    <row r="40" spans="1:3" x14ac:dyDescent="0.3">
      <c r="A40" t="s">
        <v>157</v>
      </c>
      <c r="B40">
        <f>VLOOKUP(A40,Cereri!$B$2:$J$51,9,0)</f>
        <v>710</v>
      </c>
      <c r="C40" t="s">
        <v>170</v>
      </c>
    </row>
    <row r="41" spans="1:3" x14ac:dyDescent="0.3">
      <c r="A41" t="s">
        <v>158</v>
      </c>
      <c r="B41">
        <f>VLOOKUP(A41,Cereri!$B$2:$J$51,9,0)</f>
        <v>780</v>
      </c>
      <c r="C41" t="s">
        <v>170</v>
      </c>
    </row>
    <row r="42" spans="1:3" x14ac:dyDescent="0.3">
      <c r="A42" t="s">
        <v>159</v>
      </c>
      <c r="B42">
        <f>VLOOKUP(A42,Cereri!$B$2:$J$51,9,0)</f>
        <v>750</v>
      </c>
      <c r="C42" t="s">
        <v>170</v>
      </c>
    </row>
    <row r="43" spans="1:3" x14ac:dyDescent="0.3">
      <c r="A43" t="s">
        <v>160</v>
      </c>
      <c r="B43">
        <f>VLOOKUP(A43,Cereri!$B$2:$J$51,9,0)</f>
        <v>830</v>
      </c>
      <c r="C43" t="s">
        <v>170</v>
      </c>
    </row>
    <row r="44" spans="1:3" x14ac:dyDescent="0.3">
      <c r="A44" t="s">
        <v>161</v>
      </c>
      <c r="B44">
        <f>VLOOKUP(A44,Cereri!$B$2:$J$51,9,0)</f>
        <v>690</v>
      </c>
      <c r="C44" t="s">
        <v>170</v>
      </c>
    </row>
    <row r="45" spans="1:3" x14ac:dyDescent="0.3">
      <c r="A45" t="s">
        <v>162</v>
      </c>
      <c r="B45">
        <f>VLOOKUP(A45,Cereri!$B$2:$J$51,9,0)</f>
        <v>820</v>
      </c>
      <c r="C45" t="s">
        <v>170</v>
      </c>
    </row>
    <row r="46" spans="1:3" x14ac:dyDescent="0.3">
      <c r="A46" t="s">
        <v>163</v>
      </c>
      <c r="B46">
        <f>VLOOKUP(A46,Cereri!$B$2:$J$51,9,0)</f>
        <v>700</v>
      </c>
      <c r="C46" t="s">
        <v>170</v>
      </c>
    </row>
    <row r="47" spans="1:3" x14ac:dyDescent="0.3">
      <c r="A47" t="s">
        <v>164</v>
      </c>
      <c r="B47">
        <f>VLOOKUP(A47,Cereri!$B$2:$J$51,9,0)</f>
        <v>760</v>
      </c>
      <c r="C47" t="s">
        <v>170</v>
      </c>
    </row>
    <row r="48" spans="1:3" x14ac:dyDescent="0.3">
      <c r="A48" t="s">
        <v>165</v>
      </c>
      <c r="B48">
        <f>VLOOKUP(A48,Cereri!$B$2:$J$51,9,0)</f>
        <v>740</v>
      </c>
      <c r="C48" t="s">
        <v>170</v>
      </c>
    </row>
    <row r="49" spans="1:3" x14ac:dyDescent="0.3">
      <c r="A49" t="s">
        <v>166</v>
      </c>
      <c r="B49">
        <f>VLOOKUP(A49,Cereri!$B$2:$J$51,9,0)</f>
        <v>810</v>
      </c>
      <c r="C49" t="s">
        <v>170</v>
      </c>
    </row>
    <row r="50" spans="1:3" x14ac:dyDescent="0.3">
      <c r="A50" t="s">
        <v>167</v>
      </c>
      <c r="B50">
        <f>VLOOKUP(A50,Cereri!$B$2:$J$51,9,0)</f>
        <v>720</v>
      </c>
      <c r="C50" t="s">
        <v>170</v>
      </c>
    </row>
    <row r="51" spans="1:3" x14ac:dyDescent="0.3">
      <c r="A51" t="s">
        <v>168</v>
      </c>
      <c r="B51">
        <f>VLOOKUP(A51,Cereri!$B$2:$J$51,9,0)</f>
        <v>760</v>
      </c>
      <c r="C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Cereri</vt:lpstr>
      <vt:lpstr>Raspuns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</dc:creator>
  <cp:lastModifiedBy>Mihai Giorgi</cp:lastModifiedBy>
  <dcterms:created xsi:type="dcterms:W3CDTF">2015-06-05T18:17:20Z</dcterms:created>
  <dcterms:modified xsi:type="dcterms:W3CDTF">2024-06-16T15:59:38Z</dcterms:modified>
</cp:coreProperties>
</file>