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Giorgi\Documents\UiPath\Acordarea-Creditelor\"/>
    </mc:Choice>
  </mc:AlternateContent>
  <xr:revisionPtr revIDLastSave="0" documentId="13_ncr:1_{555CED97-2414-430A-9FEF-D1B5204840B9}" xr6:coauthVersionLast="47" xr6:coauthVersionMax="47" xr10:uidLastSave="{00000000-0000-0000-0000-000000000000}"/>
  <bookViews>
    <workbookView xWindow="2076" yWindow="2808" windowWidth="17280" windowHeight="8880" xr2:uid="{00000000-000D-0000-FFFF-FFFF00000000}"/>
  </bookViews>
  <sheets>
    <sheet name="Solicitare" sheetId="1" r:id="rId1"/>
    <sheet name="Rezulta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L5" i="1" s="1"/>
  <c r="B2" i="2" s="1" a="1"/>
  <c r="B2" i="2" s="1"/>
  <c r="J8" i="1"/>
  <c r="L6" i="1" s="1"/>
  <c r="J9" i="1"/>
  <c r="J10" i="1"/>
  <c r="J11" i="1"/>
  <c r="L9" i="1" s="1"/>
  <c r="J12" i="1"/>
  <c r="L10" i="1" s="1"/>
  <c r="J13" i="1"/>
  <c r="L11" i="1" s="1"/>
  <c r="J14" i="1"/>
  <c r="L12" i="1" s="1"/>
  <c r="J15" i="1"/>
  <c r="L13" i="1" s="1"/>
  <c r="J16" i="1"/>
  <c r="L14" i="1" s="1"/>
  <c r="J17" i="1"/>
  <c r="L15" i="1" s="1"/>
  <c r="J18" i="1"/>
  <c r="J19" i="1"/>
  <c r="J20" i="1"/>
  <c r="J21" i="1"/>
  <c r="J22" i="1"/>
  <c r="J23" i="1"/>
  <c r="J24" i="1"/>
  <c r="J25" i="1"/>
  <c r="J26" i="1"/>
  <c r="L24" i="1" s="1"/>
  <c r="J27" i="1"/>
  <c r="L25" i="1" s="1"/>
  <c r="J28" i="1"/>
  <c r="J29" i="1"/>
  <c r="L27" i="1" s="1"/>
  <c r="J30" i="1"/>
  <c r="L28" i="1" s="1"/>
  <c r="J31" i="1"/>
  <c r="J32" i="1"/>
  <c r="J33" i="1"/>
  <c r="J34" i="1"/>
  <c r="J35" i="1"/>
  <c r="J36" i="1"/>
  <c r="J37" i="1"/>
  <c r="J38" i="1"/>
  <c r="L36" i="1" s="1"/>
  <c r="J39" i="1"/>
  <c r="L37" i="1" s="1"/>
  <c r="J40" i="1"/>
  <c r="L38" i="1" s="1"/>
  <c r="J41" i="1"/>
  <c r="L39" i="1" s="1"/>
  <c r="J42" i="1"/>
  <c r="L40" i="1" s="1"/>
  <c r="J43" i="1"/>
  <c r="L41" i="1" s="1"/>
  <c r="J44" i="1"/>
  <c r="L42" i="1" s="1"/>
  <c r="J45" i="1"/>
  <c r="L43" i="1" s="1"/>
  <c r="J46" i="1"/>
  <c r="L44" i="1" s="1"/>
  <c r="J47" i="1"/>
  <c r="L45" i="1" s="1"/>
  <c r="J48" i="1"/>
  <c r="L46" i="1" s="1"/>
  <c r="J49" i="1"/>
  <c r="L47" i="1" s="1"/>
  <c r="J50" i="1"/>
  <c r="J51" i="1"/>
  <c r="L2" i="1"/>
  <c r="L26" i="1"/>
  <c r="L29" i="1"/>
  <c r="L30" i="1"/>
  <c r="L31" i="1"/>
  <c r="L16" i="1"/>
  <c r="L19" i="1"/>
  <c r="L20" i="1"/>
  <c r="L21" i="1"/>
  <c r="L22" i="1"/>
  <c r="L32" i="1"/>
  <c r="L48" i="1"/>
  <c r="L3" i="1"/>
  <c r="L4" i="1"/>
  <c r="L18" i="1"/>
  <c r="L34" i="1"/>
  <c r="L35" i="1"/>
  <c r="L7" i="1"/>
  <c r="L8" i="1"/>
  <c r="L33" i="1"/>
  <c r="L49" i="1"/>
  <c r="L23" i="1"/>
  <c r="L17" i="1"/>
  <c r="L50" i="1"/>
  <c r="L5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<sst xmlns="http://schemas.openxmlformats.org/spreadsheetml/2006/main" count="314" uniqueCount="171">
  <si>
    <t>Nr. Crt.</t>
  </si>
  <si>
    <t>Nume și Prenume</t>
  </si>
  <si>
    <t>CNP</t>
  </si>
  <si>
    <t>Adresa</t>
  </si>
  <si>
    <t>Venit Lunar</t>
  </si>
  <si>
    <t>Suma Solicitata</t>
  </si>
  <si>
    <t>Durata Creditului (luni)</t>
  </si>
  <si>
    <t>Scopul Creditului</t>
  </si>
  <si>
    <t>Tipul Creditului</t>
  </si>
  <si>
    <t>Data Solicitarii</t>
  </si>
  <si>
    <t>Str. Florilor, nr. 10</t>
  </si>
  <si>
    <t>Achiziție locuință</t>
  </si>
  <si>
    <t>Ipotecar</t>
  </si>
  <si>
    <t>01.06.2024</t>
  </si>
  <si>
    <t>Str. Libertății, nr. 25</t>
  </si>
  <si>
    <t>Consolidare datorii</t>
  </si>
  <si>
    <t>Personal</t>
  </si>
  <si>
    <t>05.06.2024</t>
  </si>
  <si>
    <t>Str. Unirii, nr. 8</t>
  </si>
  <si>
    <t>Achiziție auto</t>
  </si>
  <si>
    <t>Auto</t>
  </si>
  <si>
    <t>10.06.2024</t>
  </si>
  <si>
    <t>Str. Victoriei, nr. 15</t>
  </si>
  <si>
    <t>Renovare locuință</t>
  </si>
  <si>
    <t>12.06.2024</t>
  </si>
  <si>
    <t>Str. Păcii, nr. 5</t>
  </si>
  <si>
    <t>15.06.2024</t>
  </si>
  <si>
    <t>Str. Lalelelor, nr. 7</t>
  </si>
  <si>
    <t>Studii</t>
  </si>
  <si>
    <t>18.06.2024</t>
  </si>
  <si>
    <t>Str. Buzești, nr. 22</t>
  </si>
  <si>
    <t>Achiziție teren</t>
  </si>
  <si>
    <t>20.06.2024</t>
  </si>
  <si>
    <t>Str. Izvor, nr. 11</t>
  </si>
  <si>
    <t>22.06.2024</t>
  </si>
  <si>
    <t>Str. Teiului, nr. 14</t>
  </si>
  <si>
    <t>25.06.2024</t>
  </si>
  <si>
    <t>Str. Gării, nr. 20</t>
  </si>
  <si>
    <t>Vacanță</t>
  </si>
  <si>
    <t>28.06.2024</t>
  </si>
  <si>
    <t>Str. Salcâmilor, nr. 9</t>
  </si>
  <si>
    <t>01.07.2024</t>
  </si>
  <si>
    <t>Str. Mihai Viteazu, nr. 3</t>
  </si>
  <si>
    <t>05.07.2024</t>
  </si>
  <si>
    <t>Str. Romană, nr. 2</t>
  </si>
  <si>
    <t>10.07.2024</t>
  </si>
  <si>
    <t>Str. Albatros, nr. 6</t>
  </si>
  <si>
    <t>12.07.2024</t>
  </si>
  <si>
    <t>Str. Frunzei, nr. 11</t>
  </si>
  <si>
    <t>15.07.2024</t>
  </si>
  <si>
    <t>Str. Brâncoveanu, nr. 4</t>
  </si>
  <si>
    <t>18.07.2024</t>
  </si>
  <si>
    <t>Str. Soarelui, nr. 13</t>
  </si>
  <si>
    <t>20.07.2024</t>
  </si>
  <si>
    <t>Str. Lunei, nr. 10</t>
  </si>
  <si>
    <t>22.07.2024</t>
  </si>
  <si>
    <t>Str. Brazilor, nr. 7</t>
  </si>
  <si>
    <t>25.07.2024</t>
  </si>
  <si>
    <t>Str. Teilor, nr. 5</t>
  </si>
  <si>
    <t>28.07.2024</t>
  </si>
  <si>
    <t>Str. Victoriei, nr. 10</t>
  </si>
  <si>
    <t>01.08.2024</t>
  </si>
  <si>
    <t>Str. Florilor, nr. 15</t>
  </si>
  <si>
    <t>05.08.2024</t>
  </si>
  <si>
    <t>Str. Libertății, nr. 2</t>
  </si>
  <si>
    <t>10.08.2024</t>
  </si>
  <si>
    <t>12.08.2024</t>
  </si>
  <si>
    <t>Str. Victoriei, nr. 5</t>
  </si>
  <si>
    <t>15.08.2024</t>
  </si>
  <si>
    <t>Str. Păcii, nr. 14</t>
  </si>
  <si>
    <t>18.08.2024</t>
  </si>
  <si>
    <t>Str. Mihai Viteazu, nr. 9</t>
  </si>
  <si>
    <t>20.08.2024</t>
  </si>
  <si>
    <t>Str. Albatros, nr. 17</t>
  </si>
  <si>
    <t>22.08.2024</t>
  </si>
  <si>
    <t>Str. Romană, nr. 12</t>
  </si>
  <si>
    <t>25.08.2024</t>
  </si>
  <si>
    <t>Str. Frunzei, nr. 6</t>
  </si>
  <si>
    <t>28.08.2024</t>
  </si>
  <si>
    <t>Str. Salcâmilor, nr. 5</t>
  </si>
  <si>
    <t>01.09.2024</t>
  </si>
  <si>
    <t>05.09.2024</t>
  </si>
  <si>
    <t>Str. Izvor, nr. 9</t>
  </si>
  <si>
    <t>10.09.2024</t>
  </si>
  <si>
    <t>Str. Gării, nr. 4</t>
  </si>
  <si>
    <t>12.09.2024</t>
  </si>
  <si>
    <t>Str. Lunei, nr. 11</t>
  </si>
  <si>
    <t>15.09.2024</t>
  </si>
  <si>
    <t>Str. Buzești, nr. 14</t>
  </si>
  <si>
    <t>18.09.2024</t>
  </si>
  <si>
    <t>Str. Teiului, nr. 9</t>
  </si>
  <si>
    <t>20.09.2024</t>
  </si>
  <si>
    <t>Str. Păcii, nr. 7</t>
  </si>
  <si>
    <t>22.09.2024</t>
  </si>
  <si>
    <t>Str. Victoriei, nr. 2</t>
  </si>
  <si>
    <t>25.09.2024</t>
  </si>
  <si>
    <t>Str. Salcâmilor, nr. 15</t>
  </si>
  <si>
    <t>28.09.2024</t>
  </si>
  <si>
    <t>Str. Libertății, nr. 12</t>
  </si>
  <si>
    <t>01.10.2024</t>
  </si>
  <si>
    <t>Str. Unirii, nr. 11</t>
  </si>
  <si>
    <t>05.10.2024</t>
  </si>
  <si>
    <t>Str. Lalelelor, nr. 5</t>
  </si>
  <si>
    <t>10.10.2024</t>
  </si>
  <si>
    <t>Str. Florilor, nr. 14</t>
  </si>
  <si>
    <t>12.10.2024</t>
  </si>
  <si>
    <t>Str. Mihai Viteazu, nr. 2</t>
  </si>
  <si>
    <t>15.10.2024</t>
  </si>
  <si>
    <t>Str. Romană, nr. 6</t>
  </si>
  <si>
    <t>18.10.2024</t>
  </si>
  <si>
    <t>Str. Gării, nr. 13</t>
  </si>
  <si>
    <t>20.10.2024</t>
  </si>
  <si>
    <t>Str. Brâncoveanu, nr. 10</t>
  </si>
  <si>
    <t>22.10.2024</t>
  </si>
  <si>
    <t>Str. Libertății, nr. 8</t>
  </si>
  <si>
    <t>25.10.2024</t>
  </si>
  <si>
    <t>Str. Teilor, nr. 9</t>
  </si>
  <si>
    <t>28.10.2024</t>
  </si>
  <si>
    <t>Ion Popescu</t>
  </si>
  <si>
    <t>Maria Ionescu</t>
  </si>
  <si>
    <t>Andrei Vasile</t>
  </si>
  <si>
    <t>Elena Marin</t>
  </si>
  <si>
    <t>George Tudor</t>
  </si>
  <si>
    <t>Ana Dumitru</t>
  </si>
  <si>
    <t>Mihai Georgescu</t>
  </si>
  <si>
    <t>Irina Nistor</t>
  </si>
  <si>
    <t>Daniel Barbu</t>
  </si>
  <si>
    <t>Laura Enescu</t>
  </si>
  <si>
    <t>Florin Petrescu</t>
  </si>
  <si>
    <t>Alina Munteanu</t>
  </si>
  <si>
    <t>Cristian Radu</t>
  </si>
  <si>
    <t>Gabriela Stoica</t>
  </si>
  <si>
    <t>Alexandru Ciobanu</t>
  </si>
  <si>
    <t>Dorina Nedelcu</t>
  </si>
  <si>
    <t>Lucian Moldovan</t>
  </si>
  <si>
    <t>Carmen Anton</t>
  </si>
  <si>
    <t>Victor Dumitrescu</t>
  </si>
  <si>
    <t>Daniela Vasile</t>
  </si>
  <si>
    <t>Adrian Dima</t>
  </si>
  <si>
    <t>Mihaela Voinea</t>
  </si>
  <si>
    <t>Dan Marinescu</t>
  </si>
  <si>
    <t>Simona Popa</t>
  </si>
  <si>
    <t>Radu Filipescu</t>
  </si>
  <si>
    <t>Liliana Neagu</t>
  </si>
  <si>
    <t>Andreea Moraru</t>
  </si>
  <si>
    <t>Ștefan Mărgineanu</t>
  </si>
  <si>
    <t>Claudia Călin</t>
  </si>
  <si>
    <t>Sergiu Anton</t>
  </si>
  <si>
    <t>Vlad Anghel</t>
  </si>
  <si>
    <t>Georgiana Preda</t>
  </si>
  <si>
    <t>Cosmin Dobre</t>
  </si>
  <si>
    <t>Elena Bălan</t>
  </si>
  <si>
    <t>Mircea Botezatu</t>
  </si>
  <si>
    <t>Aurelia Roman</t>
  </si>
  <si>
    <t>Valeriu Stanciu</t>
  </si>
  <si>
    <t>Teodora Ionescu</t>
  </si>
  <si>
    <t>Nicolae Vlad</t>
  </si>
  <si>
    <t>Irina Georgescu</t>
  </si>
  <si>
    <t>Robert Bădescu</t>
  </si>
  <si>
    <t>Bianca Ene</t>
  </si>
  <si>
    <t>Tudor Lungu</t>
  </si>
  <si>
    <t>Laura Drăgan</t>
  </si>
  <si>
    <t>Liviu Marinescu</t>
  </si>
  <si>
    <t>Corina Enache</t>
  </si>
  <si>
    <t>Ilie Popa</t>
  </si>
  <si>
    <t>Sorin Rusu</t>
  </si>
  <si>
    <t>Cătălina Păun</t>
  </si>
  <si>
    <t>Raluca Iliescu</t>
  </si>
  <si>
    <t>Status</t>
  </si>
  <si>
    <t>ScoringCredit</t>
  </si>
  <si>
    <t>Nume si prenume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</si>
</sst>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zoomScaleNormal="100" workbookViewId="0">
      <selection activeCell="L2" sqref="L2"/>
    </sheetView>
  </sheetViews>
  <sheetFormatPr defaultRowHeight="14.4" x14ac:dyDescent="0.3"/>
  <cols>
    <col min="1" max="1" width="7" bestFit="1" customWidth="1"/>
    <col min="2" max="2" width="16.44140625" bestFit="1" customWidth="1"/>
    <col min="3" max="3" width="16.6640625" style="1" bestFit="1" customWidth="1"/>
    <col min="4" max="4" width="20.6640625" bestFit="1" customWidth="1"/>
    <col min="5" max="5" width="10.21875" bestFit="1" customWidth="1"/>
    <col min="6" max="6" width="13.5546875" bestFit="1" customWidth="1"/>
    <col min="7" max="7" width="19.44140625" bestFit="1" customWidth="1"/>
    <col min="8" max="8" width="16.5546875" bestFit="1" customWidth="1"/>
    <col min="9" max="9" width="13.21875" bestFit="1" customWidth="1"/>
    <col min="10" max="10" width="13.6640625" bestFit="1" customWidth="1"/>
    <col min="11" max="11" width="12.77734375" bestFit="1" customWidth="1"/>
  </cols>
  <sheetData>
    <row r="1" spans="1:12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169</v>
      </c>
      <c r="K1" t="s">
        <v>9</v>
      </c>
      <c r="L1" t="s">
        <v>168</v>
      </c>
    </row>
    <row r="2" spans="1:12" x14ac:dyDescent="0.3">
      <c r="A2">
        <v>1</v>
      </c>
      <c r="B2" t="s">
        <v>118</v>
      </c>
      <c r="C2" s="1">
        <v>190010101234</v>
      </c>
      <c r="D2" t="s">
        <v>10</v>
      </c>
      <c r="E2">
        <v>3500</v>
      </c>
      <c r="F2">
        <v>20000</v>
      </c>
      <c r="G2">
        <v>60</v>
      </c>
      <c r="H2" t="s">
        <v>11</v>
      </c>
      <c r="I2" t="s">
        <v>12</v>
      </c>
      <c r="J2" s="1">
        <f>Solicitare!E2*Solicitare!F2/Solicitare!G2</f>
        <v>1166666.6666666667</v>
      </c>
      <c r="K2" t="s">
        <v>13</v>
      </c>
      <c r="L2" t="str">
        <f>IF(J4&gt;1190000,"Aprobat","Respins")</f>
        <v>Respins</v>
      </c>
    </row>
    <row r="3" spans="1:12" x14ac:dyDescent="0.3">
      <c r="A3">
        <v>2</v>
      </c>
      <c r="B3" t="s">
        <v>119</v>
      </c>
      <c r="C3" s="1">
        <v>275020202345</v>
      </c>
      <c r="D3" t="s">
        <v>14</v>
      </c>
      <c r="E3">
        <v>4500</v>
      </c>
      <c r="F3">
        <v>15000</v>
      </c>
      <c r="G3">
        <v>48</v>
      </c>
      <c r="H3" t="s">
        <v>15</v>
      </c>
      <c r="I3" t="s">
        <v>16</v>
      </c>
      <c r="J3" s="1">
        <f>Solicitare!E3*Solicitare!F3/Solicitare!G3</f>
        <v>1406250</v>
      </c>
      <c r="K3" t="s">
        <v>17</v>
      </c>
      <c r="L3" t="str">
        <f t="shared" ref="L3:L51" si="0">IF(J5&gt;1190000,"Aprobat","Respins")</f>
        <v>Aprobat</v>
      </c>
    </row>
    <row r="4" spans="1:12" x14ac:dyDescent="0.3">
      <c r="A4">
        <v>3</v>
      </c>
      <c r="B4" t="s">
        <v>120</v>
      </c>
      <c r="C4" s="1">
        <v>180030303456</v>
      </c>
      <c r="D4" t="s">
        <v>18</v>
      </c>
      <c r="E4">
        <v>3000</v>
      </c>
      <c r="F4">
        <v>10000</v>
      </c>
      <c r="G4">
        <v>36</v>
      </c>
      <c r="H4" t="s">
        <v>19</v>
      </c>
      <c r="I4" t="s">
        <v>20</v>
      </c>
      <c r="J4" s="1">
        <f>Solicitare!E4*Solicitare!F4/Solicitare!G4</f>
        <v>833333.33333333337</v>
      </c>
      <c r="K4" t="s">
        <v>21</v>
      </c>
      <c r="L4" t="str">
        <f t="shared" si="0"/>
        <v>Aprobat</v>
      </c>
    </row>
    <row r="5" spans="1:12" x14ac:dyDescent="0.3">
      <c r="A5">
        <v>4</v>
      </c>
      <c r="B5" t="s">
        <v>121</v>
      </c>
      <c r="C5" s="1">
        <v>285040404567</v>
      </c>
      <c r="D5" t="s">
        <v>22</v>
      </c>
      <c r="E5">
        <v>5000</v>
      </c>
      <c r="F5">
        <v>25000</v>
      </c>
      <c r="G5">
        <v>72</v>
      </c>
      <c r="H5" t="s">
        <v>23</v>
      </c>
      <c r="I5" t="s">
        <v>12</v>
      </c>
      <c r="J5" s="1">
        <f>Solicitare!E5*Solicitare!F5/Solicitare!G5</f>
        <v>1736111.111111111</v>
      </c>
      <c r="K5" t="s">
        <v>24</v>
      </c>
      <c r="L5" t="str">
        <f t="shared" si="0"/>
        <v>Aprobat</v>
      </c>
    </row>
    <row r="6" spans="1:12" x14ac:dyDescent="0.3">
      <c r="A6">
        <v>5</v>
      </c>
      <c r="B6" t="s">
        <v>122</v>
      </c>
      <c r="C6" s="1">
        <v>170050505678</v>
      </c>
      <c r="D6" t="s">
        <v>25</v>
      </c>
      <c r="E6">
        <v>3200</v>
      </c>
      <c r="F6">
        <v>12000</v>
      </c>
      <c r="G6">
        <v>24</v>
      </c>
      <c r="H6" t="s">
        <v>19</v>
      </c>
      <c r="I6" t="s">
        <v>20</v>
      </c>
      <c r="J6" s="1">
        <f>Solicitare!E6*Solicitare!F6/Solicitare!G6</f>
        <v>1600000</v>
      </c>
      <c r="K6" t="s">
        <v>26</v>
      </c>
      <c r="L6" t="str">
        <f t="shared" si="0"/>
        <v>Aprobat</v>
      </c>
    </row>
    <row r="7" spans="1:12" x14ac:dyDescent="0.3">
      <c r="A7">
        <v>6</v>
      </c>
      <c r="B7" t="s">
        <v>123</v>
      </c>
      <c r="C7" s="1">
        <v>290060606789</v>
      </c>
      <c r="D7" t="s">
        <v>27</v>
      </c>
      <c r="E7">
        <v>4200</v>
      </c>
      <c r="F7">
        <v>18000</v>
      </c>
      <c r="G7">
        <v>60</v>
      </c>
      <c r="H7" t="s">
        <v>28</v>
      </c>
      <c r="I7" t="s">
        <v>16</v>
      </c>
      <c r="J7" s="1">
        <f>Solicitare!E7*Solicitare!F7/Solicitare!G7</f>
        <v>1260000</v>
      </c>
      <c r="K7" t="s">
        <v>29</v>
      </c>
      <c r="L7" t="str">
        <f t="shared" si="0"/>
        <v>Aprobat</v>
      </c>
    </row>
    <row r="8" spans="1:12" x14ac:dyDescent="0.3">
      <c r="A8">
        <v>7</v>
      </c>
      <c r="B8" t="s">
        <v>124</v>
      </c>
      <c r="C8" s="1">
        <v>160070707890</v>
      </c>
      <c r="D8" t="s">
        <v>30</v>
      </c>
      <c r="E8">
        <v>3800</v>
      </c>
      <c r="F8">
        <v>22000</v>
      </c>
      <c r="G8">
        <v>48</v>
      </c>
      <c r="H8" t="s">
        <v>31</v>
      </c>
      <c r="I8" t="s">
        <v>12</v>
      </c>
      <c r="J8" s="1">
        <f>Solicitare!E8*Solicitare!F8/Solicitare!G8</f>
        <v>1741666.6666666667</v>
      </c>
      <c r="K8" t="s">
        <v>32</v>
      </c>
      <c r="L8" t="str">
        <f t="shared" si="0"/>
        <v>Respins</v>
      </c>
    </row>
    <row r="9" spans="1:12" x14ac:dyDescent="0.3">
      <c r="A9">
        <v>8</v>
      </c>
      <c r="B9" t="s">
        <v>125</v>
      </c>
      <c r="C9" s="1">
        <v>195080808901</v>
      </c>
      <c r="D9" t="s">
        <v>33</v>
      </c>
      <c r="E9">
        <v>4700</v>
      </c>
      <c r="F9">
        <v>20000</v>
      </c>
      <c r="G9">
        <v>36</v>
      </c>
      <c r="H9" t="s">
        <v>19</v>
      </c>
      <c r="I9" t="s">
        <v>20</v>
      </c>
      <c r="J9" s="1">
        <f>Solicitare!E9*Solicitare!F9/Solicitare!G9</f>
        <v>2611111.111111111</v>
      </c>
      <c r="K9" t="s">
        <v>34</v>
      </c>
      <c r="L9" t="str">
        <f t="shared" si="0"/>
        <v>Aprobat</v>
      </c>
    </row>
    <row r="10" spans="1:12" x14ac:dyDescent="0.3">
      <c r="A10">
        <v>9</v>
      </c>
      <c r="B10" t="s">
        <v>126</v>
      </c>
      <c r="C10" s="1">
        <v>180090909012</v>
      </c>
      <c r="D10" t="s">
        <v>35</v>
      </c>
      <c r="E10">
        <v>3100</v>
      </c>
      <c r="F10">
        <v>14000</v>
      </c>
      <c r="G10">
        <v>48</v>
      </c>
      <c r="H10" t="s">
        <v>19</v>
      </c>
      <c r="I10" t="s">
        <v>20</v>
      </c>
      <c r="J10" s="1">
        <f>Solicitare!E10*Solicitare!F10/Solicitare!G10</f>
        <v>904166.66666666663</v>
      </c>
      <c r="K10" t="s">
        <v>36</v>
      </c>
      <c r="L10" t="str">
        <f t="shared" si="0"/>
        <v>Aprobat</v>
      </c>
    </row>
    <row r="11" spans="1:12" x14ac:dyDescent="0.3">
      <c r="A11">
        <v>10</v>
      </c>
      <c r="B11" t="s">
        <v>127</v>
      </c>
      <c r="C11" s="1">
        <v>285101010123</v>
      </c>
      <c r="D11" t="s">
        <v>37</v>
      </c>
      <c r="E11">
        <v>3500</v>
      </c>
      <c r="F11">
        <v>10000</v>
      </c>
      <c r="G11">
        <v>24</v>
      </c>
      <c r="H11" t="s">
        <v>38</v>
      </c>
      <c r="I11" t="s">
        <v>16</v>
      </c>
      <c r="J11" s="1">
        <f>Solicitare!E11*Solicitare!F11/Solicitare!G11</f>
        <v>1458333.3333333333</v>
      </c>
      <c r="K11" t="s">
        <v>39</v>
      </c>
      <c r="L11" t="str">
        <f t="shared" si="0"/>
        <v>Aprobat</v>
      </c>
    </row>
    <row r="12" spans="1:12" x14ac:dyDescent="0.3">
      <c r="A12">
        <v>11</v>
      </c>
      <c r="B12" t="s">
        <v>128</v>
      </c>
      <c r="C12" s="1">
        <v>175111111234</v>
      </c>
      <c r="D12" t="s">
        <v>40</v>
      </c>
      <c r="E12">
        <v>3600</v>
      </c>
      <c r="F12">
        <v>21000</v>
      </c>
      <c r="G12">
        <v>60</v>
      </c>
      <c r="H12" t="s">
        <v>23</v>
      </c>
      <c r="I12" t="s">
        <v>12</v>
      </c>
      <c r="J12" s="1">
        <f>Solicitare!E12*Solicitare!F12/Solicitare!G12</f>
        <v>1260000</v>
      </c>
      <c r="K12" t="s">
        <v>41</v>
      </c>
      <c r="L12" t="str">
        <f t="shared" si="0"/>
        <v>Respins</v>
      </c>
    </row>
    <row r="13" spans="1:12" x14ac:dyDescent="0.3">
      <c r="A13">
        <v>12</v>
      </c>
      <c r="B13" t="s">
        <v>129</v>
      </c>
      <c r="C13" s="1">
        <v>190121212345</v>
      </c>
      <c r="D13" t="s">
        <v>42</v>
      </c>
      <c r="E13">
        <v>4800</v>
      </c>
      <c r="F13">
        <v>17000</v>
      </c>
      <c r="G13">
        <v>48</v>
      </c>
      <c r="H13" t="s">
        <v>19</v>
      </c>
      <c r="I13" t="s">
        <v>20</v>
      </c>
      <c r="J13" s="1">
        <f>Solicitare!E13*Solicitare!F13/Solicitare!G13</f>
        <v>1700000</v>
      </c>
      <c r="K13" t="s">
        <v>43</v>
      </c>
      <c r="L13" t="str">
        <f t="shared" si="0"/>
        <v>Aprobat</v>
      </c>
    </row>
    <row r="14" spans="1:12" x14ac:dyDescent="0.3">
      <c r="A14">
        <v>13</v>
      </c>
      <c r="B14" t="s">
        <v>130</v>
      </c>
      <c r="C14" s="1">
        <v>185131313456</v>
      </c>
      <c r="D14" t="s">
        <v>44</v>
      </c>
      <c r="E14">
        <v>3200</v>
      </c>
      <c r="F14">
        <v>11000</v>
      </c>
      <c r="G14">
        <v>36</v>
      </c>
      <c r="H14" t="s">
        <v>11</v>
      </c>
      <c r="I14" t="s">
        <v>12</v>
      </c>
      <c r="J14" s="1">
        <f>Solicitare!E14*Solicitare!F14/Solicitare!G14</f>
        <v>977777.77777777775</v>
      </c>
      <c r="K14" t="s">
        <v>45</v>
      </c>
      <c r="L14" t="str">
        <f t="shared" si="0"/>
        <v>Aprobat</v>
      </c>
    </row>
    <row r="15" spans="1:12" x14ac:dyDescent="0.3">
      <c r="A15">
        <v>14</v>
      </c>
      <c r="B15" t="s">
        <v>131</v>
      </c>
      <c r="C15" s="1">
        <v>280141414567</v>
      </c>
      <c r="D15" t="s">
        <v>46</v>
      </c>
      <c r="E15">
        <v>5100</v>
      </c>
      <c r="F15">
        <v>26000</v>
      </c>
      <c r="G15">
        <v>72</v>
      </c>
      <c r="H15" t="s">
        <v>28</v>
      </c>
      <c r="I15" t="s">
        <v>16</v>
      </c>
      <c r="J15" s="1">
        <f>Solicitare!E15*Solicitare!F15/Solicitare!G15</f>
        <v>1841666.6666666667</v>
      </c>
      <c r="K15" t="s">
        <v>47</v>
      </c>
      <c r="L15" t="str">
        <f t="shared" si="0"/>
        <v>Aprobat</v>
      </c>
    </row>
    <row r="16" spans="1:12" x14ac:dyDescent="0.3">
      <c r="A16">
        <v>15</v>
      </c>
      <c r="B16" t="s">
        <v>132</v>
      </c>
      <c r="C16" s="1">
        <v>165151515678</v>
      </c>
      <c r="D16" t="s">
        <v>48</v>
      </c>
      <c r="E16">
        <v>2900</v>
      </c>
      <c r="F16">
        <v>13000</v>
      </c>
      <c r="G16">
        <v>24</v>
      </c>
      <c r="H16" t="s">
        <v>19</v>
      </c>
      <c r="I16" t="s">
        <v>20</v>
      </c>
      <c r="J16" s="1">
        <f>Solicitare!E16*Solicitare!F16/Solicitare!G16</f>
        <v>1570833.3333333333</v>
      </c>
      <c r="K16" t="s">
        <v>49</v>
      </c>
      <c r="L16" t="str">
        <f t="shared" si="0"/>
        <v>Aprobat</v>
      </c>
    </row>
    <row r="17" spans="1:12" x14ac:dyDescent="0.3">
      <c r="A17">
        <v>16</v>
      </c>
      <c r="B17" t="s">
        <v>133</v>
      </c>
      <c r="C17" s="1">
        <v>195161616789</v>
      </c>
      <c r="D17" t="s">
        <v>50</v>
      </c>
      <c r="E17">
        <v>4300</v>
      </c>
      <c r="F17">
        <v>19000</v>
      </c>
      <c r="G17">
        <v>60</v>
      </c>
      <c r="H17" t="s">
        <v>23</v>
      </c>
      <c r="I17" t="s">
        <v>12</v>
      </c>
      <c r="J17" s="1">
        <f>Solicitare!E17*Solicitare!F17/Solicitare!G17</f>
        <v>1361666.6666666667</v>
      </c>
      <c r="K17" t="s">
        <v>51</v>
      </c>
      <c r="L17" t="str">
        <f t="shared" si="0"/>
        <v>Aprobat</v>
      </c>
    </row>
    <row r="18" spans="1:12" x14ac:dyDescent="0.3">
      <c r="A18">
        <v>17</v>
      </c>
      <c r="B18" t="s">
        <v>134</v>
      </c>
      <c r="C18" s="1">
        <v>170171717890</v>
      </c>
      <c r="D18" t="s">
        <v>52</v>
      </c>
      <c r="E18">
        <v>3700</v>
      </c>
      <c r="F18">
        <v>23000</v>
      </c>
      <c r="G18">
        <v>48</v>
      </c>
      <c r="H18" t="s">
        <v>31</v>
      </c>
      <c r="I18" t="s">
        <v>12</v>
      </c>
      <c r="J18" s="1">
        <f>Solicitare!E18*Solicitare!F18/Solicitare!G18</f>
        <v>1772916.6666666667</v>
      </c>
      <c r="K18" t="s">
        <v>53</v>
      </c>
      <c r="L18" t="str">
        <f t="shared" si="0"/>
        <v>Respins</v>
      </c>
    </row>
    <row r="19" spans="1:12" x14ac:dyDescent="0.3">
      <c r="A19">
        <v>18</v>
      </c>
      <c r="B19" t="s">
        <v>135</v>
      </c>
      <c r="C19" s="1">
        <v>185181818901</v>
      </c>
      <c r="D19" t="s">
        <v>54</v>
      </c>
      <c r="E19">
        <v>4600</v>
      </c>
      <c r="F19">
        <v>15000</v>
      </c>
      <c r="G19">
        <v>36</v>
      </c>
      <c r="H19" t="s">
        <v>19</v>
      </c>
      <c r="I19" t="s">
        <v>20</v>
      </c>
      <c r="J19" s="1">
        <f>Solicitare!E19*Solicitare!F19/Solicitare!G19</f>
        <v>1916666.6666666667</v>
      </c>
      <c r="K19" t="s">
        <v>55</v>
      </c>
      <c r="L19" t="str">
        <f t="shared" si="0"/>
        <v>Aprobat</v>
      </c>
    </row>
    <row r="20" spans="1:12" x14ac:dyDescent="0.3">
      <c r="A20">
        <v>19</v>
      </c>
      <c r="B20" t="s">
        <v>136</v>
      </c>
      <c r="C20" s="1">
        <v>180191919012</v>
      </c>
      <c r="D20" t="s">
        <v>56</v>
      </c>
      <c r="E20">
        <v>3100</v>
      </c>
      <c r="F20">
        <v>16000</v>
      </c>
      <c r="G20">
        <v>48</v>
      </c>
      <c r="H20" t="s">
        <v>11</v>
      </c>
      <c r="I20" t="s">
        <v>12</v>
      </c>
      <c r="J20" s="1">
        <f>Solicitare!E20*Solicitare!F20/Solicitare!G20</f>
        <v>1033333.3333333334</v>
      </c>
      <c r="K20" t="s">
        <v>57</v>
      </c>
      <c r="L20" t="str">
        <f t="shared" si="0"/>
        <v>Respins</v>
      </c>
    </row>
    <row r="21" spans="1:12" x14ac:dyDescent="0.3">
      <c r="A21">
        <v>20</v>
      </c>
      <c r="B21" t="s">
        <v>137</v>
      </c>
      <c r="C21" s="1">
        <v>290202020123</v>
      </c>
      <c r="D21" t="s">
        <v>58</v>
      </c>
      <c r="E21">
        <v>3600</v>
      </c>
      <c r="F21">
        <v>12000</v>
      </c>
      <c r="G21">
        <v>24</v>
      </c>
      <c r="H21" t="s">
        <v>38</v>
      </c>
      <c r="I21" t="s">
        <v>16</v>
      </c>
      <c r="J21" s="1">
        <f>Solicitare!E21*Solicitare!F21/Solicitare!G21</f>
        <v>1800000</v>
      </c>
      <c r="K21" t="s">
        <v>59</v>
      </c>
      <c r="L21" t="str">
        <f t="shared" si="0"/>
        <v>Aprobat</v>
      </c>
    </row>
    <row r="22" spans="1:12" x14ac:dyDescent="0.3">
      <c r="A22">
        <v>21</v>
      </c>
      <c r="B22" t="s">
        <v>138</v>
      </c>
      <c r="C22" s="1">
        <v>180212121234</v>
      </c>
      <c r="D22" t="s">
        <v>60</v>
      </c>
      <c r="E22">
        <v>3400</v>
      </c>
      <c r="F22">
        <v>21000</v>
      </c>
      <c r="G22">
        <v>60</v>
      </c>
      <c r="H22" t="s">
        <v>19</v>
      </c>
      <c r="I22" t="s">
        <v>20</v>
      </c>
      <c r="J22" s="1">
        <f>Solicitare!E22*Solicitare!F22/Solicitare!G22</f>
        <v>1190000</v>
      </c>
      <c r="K22" t="s">
        <v>61</v>
      </c>
      <c r="L22" t="str">
        <f t="shared" si="0"/>
        <v>Respins</v>
      </c>
    </row>
    <row r="23" spans="1:12" x14ac:dyDescent="0.3">
      <c r="A23">
        <v>22</v>
      </c>
      <c r="B23" t="s">
        <v>139</v>
      </c>
      <c r="C23" s="1">
        <v>285222222345</v>
      </c>
      <c r="D23" t="s">
        <v>62</v>
      </c>
      <c r="E23">
        <v>4900</v>
      </c>
      <c r="F23">
        <v>14000</v>
      </c>
      <c r="G23">
        <v>48</v>
      </c>
      <c r="H23" t="s">
        <v>15</v>
      </c>
      <c r="I23" t="s">
        <v>16</v>
      </c>
      <c r="J23" s="1">
        <f>Solicitare!E23*Solicitare!F23/Solicitare!G23</f>
        <v>1429166.6666666667</v>
      </c>
      <c r="K23" t="s">
        <v>63</v>
      </c>
      <c r="L23" t="str">
        <f t="shared" si="0"/>
        <v>Aprobat</v>
      </c>
    </row>
    <row r="24" spans="1:12" x14ac:dyDescent="0.3">
      <c r="A24">
        <v>23</v>
      </c>
      <c r="B24" t="s">
        <v>140</v>
      </c>
      <c r="C24" s="1">
        <v>175232323456</v>
      </c>
      <c r="D24" t="s">
        <v>64</v>
      </c>
      <c r="E24">
        <v>3000</v>
      </c>
      <c r="F24">
        <v>10000</v>
      </c>
      <c r="G24">
        <v>36</v>
      </c>
      <c r="H24" t="s">
        <v>19</v>
      </c>
      <c r="I24" t="s">
        <v>20</v>
      </c>
      <c r="J24" s="1">
        <f>Solicitare!E24*Solicitare!F24/Solicitare!G24</f>
        <v>833333.33333333337</v>
      </c>
      <c r="K24" t="s">
        <v>65</v>
      </c>
      <c r="L24" t="str">
        <f t="shared" si="0"/>
        <v>Aprobat</v>
      </c>
    </row>
    <row r="25" spans="1:12" x14ac:dyDescent="0.3">
      <c r="A25">
        <v>24</v>
      </c>
      <c r="B25" t="s">
        <v>141</v>
      </c>
      <c r="C25" s="1">
        <v>190242424567</v>
      </c>
      <c r="D25" t="s">
        <v>18</v>
      </c>
      <c r="E25">
        <v>5400</v>
      </c>
      <c r="F25">
        <v>25000</v>
      </c>
      <c r="G25">
        <v>72</v>
      </c>
      <c r="H25" t="s">
        <v>23</v>
      </c>
      <c r="I25" t="s">
        <v>12</v>
      </c>
      <c r="J25" s="1">
        <f>Solicitare!E25*Solicitare!F25/Solicitare!G25</f>
        <v>1875000</v>
      </c>
      <c r="K25" t="s">
        <v>66</v>
      </c>
      <c r="L25" t="str">
        <f t="shared" si="0"/>
        <v>Aprobat</v>
      </c>
    </row>
    <row r="26" spans="1:12" x14ac:dyDescent="0.3">
      <c r="A26">
        <v>25</v>
      </c>
      <c r="B26" t="s">
        <v>142</v>
      </c>
      <c r="C26" s="1">
        <v>170252525678</v>
      </c>
      <c r="D26" t="s">
        <v>67</v>
      </c>
      <c r="E26">
        <v>3300</v>
      </c>
      <c r="F26">
        <v>11000</v>
      </c>
      <c r="G26">
        <v>24</v>
      </c>
      <c r="H26" t="s">
        <v>19</v>
      </c>
      <c r="I26" t="s">
        <v>20</v>
      </c>
      <c r="J26" s="1">
        <f>Solicitare!E26*Solicitare!F26/Solicitare!G26</f>
        <v>1512500</v>
      </c>
      <c r="K26" t="s">
        <v>68</v>
      </c>
      <c r="L26" t="str">
        <f t="shared" si="0"/>
        <v>Aprobat</v>
      </c>
    </row>
    <row r="27" spans="1:12" x14ac:dyDescent="0.3">
      <c r="A27">
        <v>26</v>
      </c>
      <c r="B27" t="s">
        <v>143</v>
      </c>
      <c r="C27" s="1">
        <v>185262626789</v>
      </c>
      <c r="D27" t="s">
        <v>69</v>
      </c>
      <c r="E27">
        <v>4100</v>
      </c>
      <c r="F27">
        <v>18000</v>
      </c>
      <c r="G27">
        <v>60</v>
      </c>
      <c r="H27" t="s">
        <v>28</v>
      </c>
      <c r="I27" t="s">
        <v>16</v>
      </c>
      <c r="J27" s="1">
        <f>Solicitare!E27*Solicitare!F27/Solicitare!G27</f>
        <v>1230000</v>
      </c>
      <c r="K27" t="s">
        <v>70</v>
      </c>
      <c r="L27" t="str">
        <f t="shared" si="0"/>
        <v>Aprobat</v>
      </c>
    </row>
    <row r="28" spans="1:12" x14ac:dyDescent="0.3">
      <c r="A28">
        <v>27</v>
      </c>
      <c r="B28" t="s">
        <v>144</v>
      </c>
      <c r="C28" s="1">
        <v>190272727890</v>
      </c>
      <c r="D28" t="s">
        <v>71</v>
      </c>
      <c r="E28">
        <v>3900</v>
      </c>
      <c r="F28">
        <v>22000</v>
      </c>
      <c r="G28">
        <v>48</v>
      </c>
      <c r="H28" t="s">
        <v>31</v>
      </c>
      <c r="I28" t="s">
        <v>12</v>
      </c>
      <c r="J28" s="1">
        <f>Solicitare!E28*Solicitare!F28/Solicitare!G28</f>
        <v>1787500</v>
      </c>
      <c r="K28" t="s">
        <v>72</v>
      </c>
      <c r="L28" t="str">
        <f t="shared" si="0"/>
        <v>Respins</v>
      </c>
    </row>
    <row r="29" spans="1:12" x14ac:dyDescent="0.3">
      <c r="A29">
        <v>28</v>
      </c>
      <c r="B29" t="s">
        <v>145</v>
      </c>
      <c r="C29" s="1">
        <v>185282828901</v>
      </c>
      <c r="D29" t="s">
        <v>73</v>
      </c>
      <c r="E29">
        <v>4700</v>
      </c>
      <c r="F29">
        <v>20000</v>
      </c>
      <c r="G29">
        <v>36</v>
      </c>
      <c r="H29" t="s">
        <v>19</v>
      </c>
      <c r="I29" t="s">
        <v>20</v>
      </c>
      <c r="J29" s="1">
        <f>Solicitare!E29*Solicitare!F29/Solicitare!G29</f>
        <v>2611111.111111111</v>
      </c>
      <c r="K29" t="s">
        <v>74</v>
      </c>
      <c r="L29" t="str">
        <f t="shared" si="0"/>
        <v>Aprobat</v>
      </c>
    </row>
    <row r="30" spans="1:12" x14ac:dyDescent="0.3">
      <c r="A30">
        <v>29</v>
      </c>
      <c r="B30" t="s">
        <v>146</v>
      </c>
      <c r="C30" s="1">
        <v>175292929012</v>
      </c>
      <c r="D30" t="s">
        <v>75</v>
      </c>
      <c r="E30">
        <v>3200</v>
      </c>
      <c r="F30">
        <v>14000</v>
      </c>
      <c r="G30">
        <v>48</v>
      </c>
      <c r="H30" t="s">
        <v>19</v>
      </c>
      <c r="I30" t="s">
        <v>20</v>
      </c>
      <c r="J30" s="1">
        <f>Solicitare!E30*Solicitare!F30/Solicitare!G30</f>
        <v>933333.33333333337</v>
      </c>
      <c r="K30" t="s">
        <v>76</v>
      </c>
      <c r="L30" t="str">
        <f t="shared" si="0"/>
        <v>Aprobat</v>
      </c>
    </row>
    <row r="31" spans="1:12" x14ac:dyDescent="0.3">
      <c r="A31">
        <v>30</v>
      </c>
      <c r="B31" t="s">
        <v>147</v>
      </c>
      <c r="C31" s="1">
        <v>285303030123</v>
      </c>
      <c r="D31" t="s">
        <v>77</v>
      </c>
      <c r="E31">
        <v>3500</v>
      </c>
      <c r="F31">
        <v>10000</v>
      </c>
      <c r="G31">
        <v>24</v>
      </c>
      <c r="H31" t="s">
        <v>38</v>
      </c>
      <c r="I31" t="s">
        <v>16</v>
      </c>
      <c r="J31" s="1">
        <f>Solicitare!E31*Solicitare!F31/Solicitare!G31</f>
        <v>1458333.3333333333</v>
      </c>
      <c r="K31" t="s">
        <v>78</v>
      </c>
      <c r="L31" t="str">
        <f t="shared" si="0"/>
        <v>Aprobat</v>
      </c>
    </row>
    <row r="32" spans="1:12" x14ac:dyDescent="0.3">
      <c r="A32">
        <v>31</v>
      </c>
      <c r="B32" t="s">
        <v>148</v>
      </c>
      <c r="C32" s="1">
        <v>180313131234</v>
      </c>
      <c r="D32" t="s">
        <v>79</v>
      </c>
      <c r="E32">
        <v>3600</v>
      </c>
      <c r="F32">
        <v>21000</v>
      </c>
      <c r="G32">
        <v>60</v>
      </c>
      <c r="H32" t="s">
        <v>23</v>
      </c>
      <c r="I32" t="s">
        <v>12</v>
      </c>
      <c r="J32" s="1">
        <f>Solicitare!E32*Solicitare!F32/Solicitare!G32</f>
        <v>1260000</v>
      </c>
      <c r="K32" t="s">
        <v>80</v>
      </c>
      <c r="L32" t="str">
        <f t="shared" si="0"/>
        <v>Respins</v>
      </c>
    </row>
    <row r="33" spans="1:12" x14ac:dyDescent="0.3">
      <c r="A33">
        <v>32</v>
      </c>
      <c r="B33" t="s">
        <v>149</v>
      </c>
      <c r="C33" s="1">
        <v>290323232345</v>
      </c>
      <c r="D33" t="s">
        <v>60</v>
      </c>
      <c r="E33">
        <v>5000</v>
      </c>
      <c r="F33">
        <v>17000</v>
      </c>
      <c r="G33">
        <v>48</v>
      </c>
      <c r="H33" t="s">
        <v>19</v>
      </c>
      <c r="I33" t="s">
        <v>20</v>
      </c>
      <c r="J33" s="1">
        <f>Solicitare!E33*Solicitare!F33/Solicitare!G33</f>
        <v>1770833.3333333333</v>
      </c>
      <c r="K33" t="s">
        <v>81</v>
      </c>
      <c r="L33" t="str">
        <f t="shared" si="0"/>
        <v>Aprobat</v>
      </c>
    </row>
    <row r="34" spans="1:12" x14ac:dyDescent="0.3">
      <c r="A34">
        <v>33</v>
      </c>
      <c r="B34" t="s">
        <v>150</v>
      </c>
      <c r="C34" s="1">
        <v>185333333456</v>
      </c>
      <c r="D34" t="s">
        <v>82</v>
      </c>
      <c r="E34">
        <v>3100</v>
      </c>
      <c r="F34">
        <v>11000</v>
      </c>
      <c r="G34">
        <v>36</v>
      </c>
      <c r="H34" t="s">
        <v>11</v>
      </c>
      <c r="I34" t="s">
        <v>12</v>
      </c>
      <c r="J34" s="1">
        <f>Solicitare!E34*Solicitare!F34/Solicitare!G34</f>
        <v>947222.22222222225</v>
      </c>
      <c r="K34" t="s">
        <v>83</v>
      </c>
      <c r="L34" t="str">
        <f t="shared" si="0"/>
        <v>Aprobat</v>
      </c>
    </row>
    <row r="35" spans="1:12" x14ac:dyDescent="0.3">
      <c r="A35">
        <v>34</v>
      </c>
      <c r="B35" t="s">
        <v>151</v>
      </c>
      <c r="C35" s="1">
        <v>275343434567</v>
      </c>
      <c r="D35" t="s">
        <v>84</v>
      </c>
      <c r="E35">
        <v>5400</v>
      </c>
      <c r="F35">
        <v>26000</v>
      </c>
      <c r="G35">
        <v>72</v>
      </c>
      <c r="H35" t="s">
        <v>28</v>
      </c>
      <c r="I35" t="s">
        <v>16</v>
      </c>
      <c r="J35" s="1">
        <f>Solicitare!E35*Solicitare!F35/Solicitare!G35</f>
        <v>1950000</v>
      </c>
      <c r="K35" t="s">
        <v>85</v>
      </c>
      <c r="L35" t="str">
        <f t="shared" si="0"/>
        <v>Aprobat</v>
      </c>
    </row>
    <row r="36" spans="1:12" x14ac:dyDescent="0.3">
      <c r="A36">
        <v>35</v>
      </c>
      <c r="B36" t="s">
        <v>152</v>
      </c>
      <c r="C36" s="1">
        <v>170353535678</v>
      </c>
      <c r="D36" t="s">
        <v>86</v>
      </c>
      <c r="E36">
        <v>2900</v>
      </c>
      <c r="F36">
        <v>13000</v>
      </c>
      <c r="G36">
        <v>24</v>
      </c>
      <c r="H36" t="s">
        <v>19</v>
      </c>
      <c r="I36" t="s">
        <v>20</v>
      </c>
      <c r="J36" s="1">
        <f>Solicitare!E36*Solicitare!F36/Solicitare!G36</f>
        <v>1570833.3333333333</v>
      </c>
      <c r="K36" t="s">
        <v>87</v>
      </c>
      <c r="L36" t="str">
        <f t="shared" si="0"/>
        <v>Aprobat</v>
      </c>
    </row>
    <row r="37" spans="1:12" x14ac:dyDescent="0.3">
      <c r="A37">
        <v>36</v>
      </c>
      <c r="B37" t="s">
        <v>153</v>
      </c>
      <c r="C37" s="1">
        <v>195363636789</v>
      </c>
      <c r="D37" t="s">
        <v>88</v>
      </c>
      <c r="E37">
        <v>4300</v>
      </c>
      <c r="F37">
        <v>19000</v>
      </c>
      <c r="G37">
        <v>60</v>
      </c>
      <c r="H37" t="s">
        <v>23</v>
      </c>
      <c r="I37" t="s">
        <v>12</v>
      </c>
      <c r="J37" s="1">
        <f>Solicitare!E37*Solicitare!F37/Solicitare!G37</f>
        <v>1361666.6666666667</v>
      </c>
      <c r="K37" t="s">
        <v>89</v>
      </c>
      <c r="L37" t="str">
        <f t="shared" si="0"/>
        <v>Aprobat</v>
      </c>
    </row>
    <row r="38" spans="1:12" x14ac:dyDescent="0.3">
      <c r="A38">
        <v>37</v>
      </c>
      <c r="B38" t="s">
        <v>154</v>
      </c>
      <c r="C38" s="1">
        <v>180373737890</v>
      </c>
      <c r="D38" t="s">
        <v>90</v>
      </c>
      <c r="E38">
        <v>3700</v>
      </c>
      <c r="F38">
        <v>23000</v>
      </c>
      <c r="G38">
        <v>48</v>
      </c>
      <c r="H38" t="s">
        <v>31</v>
      </c>
      <c r="I38" t="s">
        <v>12</v>
      </c>
      <c r="J38" s="1">
        <f>Solicitare!E38*Solicitare!F38/Solicitare!G38</f>
        <v>1772916.6666666667</v>
      </c>
      <c r="K38" t="s">
        <v>91</v>
      </c>
      <c r="L38" t="str">
        <f t="shared" si="0"/>
        <v>Respins</v>
      </c>
    </row>
    <row r="39" spans="1:12" x14ac:dyDescent="0.3">
      <c r="A39">
        <v>38</v>
      </c>
      <c r="B39" t="s">
        <v>155</v>
      </c>
      <c r="C39" s="1">
        <v>185383838901</v>
      </c>
      <c r="D39" t="s">
        <v>92</v>
      </c>
      <c r="E39">
        <v>4600</v>
      </c>
      <c r="F39">
        <v>15000</v>
      </c>
      <c r="G39">
        <v>36</v>
      </c>
      <c r="H39" t="s">
        <v>19</v>
      </c>
      <c r="I39" t="s">
        <v>20</v>
      </c>
      <c r="J39" s="1">
        <f>Solicitare!E39*Solicitare!F39/Solicitare!G39</f>
        <v>1916666.6666666667</v>
      </c>
      <c r="K39" t="s">
        <v>93</v>
      </c>
      <c r="L39" t="str">
        <f t="shared" si="0"/>
        <v>Aprobat</v>
      </c>
    </row>
    <row r="40" spans="1:12" x14ac:dyDescent="0.3">
      <c r="A40">
        <v>39</v>
      </c>
      <c r="B40" t="s">
        <v>156</v>
      </c>
      <c r="C40" s="1">
        <v>175393939012</v>
      </c>
      <c r="D40" t="s">
        <v>94</v>
      </c>
      <c r="E40">
        <v>3100</v>
      </c>
      <c r="F40">
        <v>16000</v>
      </c>
      <c r="G40">
        <v>48</v>
      </c>
      <c r="H40" t="s">
        <v>11</v>
      </c>
      <c r="I40" t="s">
        <v>12</v>
      </c>
      <c r="J40" s="1">
        <f>Solicitare!E40*Solicitare!F40/Solicitare!G40</f>
        <v>1033333.3333333334</v>
      </c>
      <c r="K40" t="s">
        <v>95</v>
      </c>
      <c r="L40" t="str">
        <f t="shared" si="0"/>
        <v>Respins</v>
      </c>
    </row>
    <row r="41" spans="1:12" x14ac:dyDescent="0.3">
      <c r="A41">
        <v>40</v>
      </c>
      <c r="B41" t="s">
        <v>157</v>
      </c>
      <c r="C41" s="1">
        <v>285404040123</v>
      </c>
      <c r="D41" t="s">
        <v>96</v>
      </c>
      <c r="E41">
        <v>3600</v>
      </c>
      <c r="F41">
        <v>12000</v>
      </c>
      <c r="G41">
        <v>24</v>
      </c>
      <c r="H41" t="s">
        <v>38</v>
      </c>
      <c r="I41" t="s">
        <v>16</v>
      </c>
      <c r="J41" s="1">
        <f>Solicitare!E41*Solicitare!F41/Solicitare!G41</f>
        <v>1800000</v>
      </c>
      <c r="K41" t="s">
        <v>97</v>
      </c>
      <c r="L41" t="str">
        <f t="shared" si="0"/>
        <v>Aprobat</v>
      </c>
    </row>
    <row r="42" spans="1:12" x14ac:dyDescent="0.3">
      <c r="A42">
        <v>41</v>
      </c>
      <c r="B42" t="s">
        <v>158</v>
      </c>
      <c r="C42" s="1">
        <v>175414141234</v>
      </c>
      <c r="D42" t="s">
        <v>98</v>
      </c>
      <c r="E42">
        <v>3400</v>
      </c>
      <c r="F42">
        <v>21000</v>
      </c>
      <c r="G42">
        <v>60</v>
      </c>
      <c r="H42" t="s">
        <v>19</v>
      </c>
      <c r="I42" t="s">
        <v>20</v>
      </c>
      <c r="J42" s="1">
        <f>Solicitare!E42*Solicitare!F42/Solicitare!G42</f>
        <v>1190000</v>
      </c>
      <c r="K42" t="s">
        <v>99</v>
      </c>
      <c r="L42" t="str">
        <f t="shared" si="0"/>
        <v>Respins</v>
      </c>
    </row>
    <row r="43" spans="1:12" x14ac:dyDescent="0.3">
      <c r="A43">
        <v>42</v>
      </c>
      <c r="B43" t="s">
        <v>159</v>
      </c>
      <c r="C43" s="1">
        <v>190424242345</v>
      </c>
      <c r="D43" t="s">
        <v>100</v>
      </c>
      <c r="E43">
        <v>4900</v>
      </c>
      <c r="F43">
        <v>14000</v>
      </c>
      <c r="G43">
        <v>48</v>
      </c>
      <c r="H43" t="s">
        <v>15</v>
      </c>
      <c r="I43" t="s">
        <v>16</v>
      </c>
      <c r="J43" s="1">
        <f>Solicitare!E43*Solicitare!F43/Solicitare!G43</f>
        <v>1429166.6666666667</v>
      </c>
      <c r="K43" t="s">
        <v>101</v>
      </c>
      <c r="L43" t="str">
        <f t="shared" si="0"/>
        <v>Aprobat</v>
      </c>
    </row>
    <row r="44" spans="1:12" x14ac:dyDescent="0.3">
      <c r="A44">
        <v>43</v>
      </c>
      <c r="B44" t="s">
        <v>160</v>
      </c>
      <c r="C44" s="1">
        <v>185434343456</v>
      </c>
      <c r="D44" t="s">
        <v>102</v>
      </c>
      <c r="E44">
        <v>3000</v>
      </c>
      <c r="F44">
        <v>10000</v>
      </c>
      <c r="G44">
        <v>36</v>
      </c>
      <c r="H44" t="s">
        <v>19</v>
      </c>
      <c r="I44" t="s">
        <v>20</v>
      </c>
      <c r="J44" s="1">
        <f>Solicitare!E44*Solicitare!F44/Solicitare!G44</f>
        <v>833333.33333333337</v>
      </c>
      <c r="K44" t="s">
        <v>103</v>
      </c>
      <c r="L44" t="str">
        <f t="shared" si="0"/>
        <v>Aprobat</v>
      </c>
    </row>
    <row r="45" spans="1:12" x14ac:dyDescent="0.3">
      <c r="A45">
        <v>44</v>
      </c>
      <c r="B45" t="s">
        <v>161</v>
      </c>
      <c r="C45" s="1">
        <v>190444444567</v>
      </c>
      <c r="D45" t="s">
        <v>104</v>
      </c>
      <c r="E45">
        <v>5400</v>
      </c>
      <c r="F45">
        <v>25000</v>
      </c>
      <c r="G45">
        <v>72</v>
      </c>
      <c r="H45" t="s">
        <v>23</v>
      </c>
      <c r="I45" t="s">
        <v>12</v>
      </c>
      <c r="J45" s="1">
        <f>Solicitare!E45*Solicitare!F45/Solicitare!G45</f>
        <v>1875000</v>
      </c>
      <c r="K45" t="s">
        <v>105</v>
      </c>
      <c r="L45" t="str">
        <f t="shared" si="0"/>
        <v>Aprobat</v>
      </c>
    </row>
    <row r="46" spans="1:12" x14ac:dyDescent="0.3">
      <c r="A46">
        <v>45</v>
      </c>
      <c r="B46" t="s">
        <v>162</v>
      </c>
      <c r="C46" s="1">
        <v>170454545678</v>
      </c>
      <c r="D46" t="s">
        <v>106</v>
      </c>
      <c r="E46">
        <v>3300</v>
      </c>
      <c r="F46">
        <v>11000</v>
      </c>
      <c r="G46">
        <v>24</v>
      </c>
      <c r="H46" t="s">
        <v>19</v>
      </c>
      <c r="I46" t="s">
        <v>20</v>
      </c>
      <c r="J46" s="1">
        <f>Solicitare!E46*Solicitare!F46/Solicitare!G46</f>
        <v>1512500</v>
      </c>
      <c r="K46" t="s">
        <v>107</v>
      </c>
      <c r="L46" t="str">
        <f t="shared" si="0"/>
        <v>Aprobat</v>
      </c>
    </row>
    <row r="47" spans="1:12" x14ac:dyDescent="0.3">
      <c r="A47">
        <v>46</v>
      </c>
      <c r="B47" t="s">
        <v>163</v>
      </c>
      <c r="C47" s="1">
        <v>185464646789</v>
      </c>
      <c r="D47" t="s">
        <v>108</v>
      </c>
      <c r="E47">
        <v>4100</v>
      </c>
      <c r="F47">
        <v>18000</v>
      </c>
      <c r="G47">
        <v>60</v>
      </c>
      <c r="H47" t="s">
        <v>28</v>
      </c>
      <c r="I47" t="s">
        <v>16</v>
      </c>
      <c r="J47" s="1">
        <f>Solicitare!E47*Solicitare!F47/Solicitare!G47</f>
        <v>1230000</v>
      </c>
      <c r="K47" t="s">
        <v>109</v>
      </c>
      <c r="L47" t="str">
        <f t="shared" si="0"/>
        <v>Aprobat</v>
      </c>
    </row>
    <row r="48" spans="1:12" x14ac:dyDescent="0.3">
      <c r="A48">
        <v>47</v>
      </c>
      <c r="B48" t="s">
        <v>164</v>
      </c>
      <c r="C48" s="1">
        <v>180474747890</v>
      </c>
      <c r="D48" t="s">
        <v>110</v>
      </c>
      <c r="E48">
        <v>3900</v>
      </c>
      <c r="F48">
        <v>22000</v>
      </c>
      <c r="G48">
        <v>48</v>
      </c>
      <c r="H48" t="s">
        <v>31</v>
      </c>
      <c r="I48" t="s">
        <v>12</v>
      </c>
      <c r="J48" s="1">
        <f>Solicitare!E48*Solicitare!F48/Solicitare!G48</f>
        <v>1787500</v>
      </c>
      <c r="K48" t="s">
        <v>111</v>
      </c>
      <c r="L48" t="str">
        <f t="shared" si="0"/>
        <v>Respins</v>
      </c>
    </row>
    <row r="49" spans="1:12" x14ac:dyDescent="0.3">
      <c r="A49">
        <v>48</v>
      </c>
      <c r="B49" t="s">
        <v>165</v>
      </c>
      <c r="C49" s="1">
        <v>185484848901</v>
      </c>
      <c r="D49" t="s">
        <v>112</v>
      </c>
      <c r="E49">
        <v>4700</v>
      </c>
      <c r="F49">
        <v>20000</v>
      </c>
      <c r="G49">
        <v>36</v>
      </c>
      <c r="H49" t="s">
        <v>19</v>
      </c>
      <c r="I49" t="s">
        <v>20</v>
      </c>
      <c r="J49" s="1">
        <f>Solicitare!E49*Solicitare!F49/Solicitare!G49</f>
        <v>2611111.111111111</v>
      </c>
      <c r="K49" t="s">
        <v>113</v>
      </c>
      <c r="L49" t="str">
        <f t="shared" si="0"/>
        <v>Aprobat</v>
      </c>
    </row>
    <row r="50" spans="1:12" x14ac:dyDescent="0.3">
      <c r="A50">
        <v>49</v>
      </c>
      <c r="B50" t="s">
        <v>166</v>
      </c>
      <c r="C50" s="1">
        <v>175494949012</v>
      </c>
      <c r="D50" t="s">
        <v>114</v>
      </c>
      <c r="E50">
        <v>3200</v>
      </c>
      <c r="F50">
        <v>14000</v>
      </c>
      <c r="G50">
        <v>48</v>
      </c>
      <c r="H50" t="s">
        <v>19</v>
      </c>
      <c r="I50" t="s">
        <v>20</v>
      </c>
      <c r="J50" s="1">
        <f>Solicitare!E50*Solicitare!F50/Solicitare!G50</f>
        <v>933333.33333333337</v>
      </c>
      <c r="K50" t="s">
        <v>115</v>
      </c>
      <c r="L50" t="str">
        <f t="shared" si="0"/>
        <v>Respins</v>
      </c>
    </row>
    <row r="51" spans="1:12" x14ac:dyDescent="0.3">
      <c r="A51">
        <v>50</v>
      </c>
      <c r="B51" t="s">
        <v>167</v>
      </c>
      <c r="C51" s="1">
        <v>290505050123</v>
      </c>
      <c r="D51" t="s">
        <v>116</v>
      </c>
      <c r="E51">
        <v>3500</v>
      </c>
      <c r="F51">
        <v>10000</v>
      </c>
      <c r="G51">
        <v>24</v>
      </c>
      <c r="H51" t="s">
        <v>38</v>
      </c>
      <c r="I51" t="s">
        <v>16</v>
      </c>
      <c r="J51" s="1">
        <f>Solicitare!E51*Solicitare!F51/Solicitare!G51</f>
        <v>1458333.3333333333</v>
      </c>
      <c r="K51" t="s">
        <v>117</v>
      </c>
      <c r="L51" t="str">
        <f t="shared" si="0"/>
        <v>Respins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815B9-27A6-4627-948D-202DEB988197}">
  <dimension ref="A1:B51"/>
  <sheetViews>
    <sheetView workbookViewId="0">
      <selection activeCell="E32" sqref="E32"/>
    </sheetView>
  </sheetViews>
  <sheetFormatPr defaultRowHeight="14.4" x14ac:dyDescent="0.3"/>
  <cols>
    <col min="1" max="1" width="16.44140625" bestFit="1" customWidth="1"/>
    <col min="2" max="2" width="21.5546875" customWidth="1"/>
  </cols>
  <sheetData>
    <row r="1" spans="1:2" x14ac:dyDescent="0.3">
      <c r="A1" t="s">
        <v>170</v>
      </c>
      <c r="B1" t="s">
        <v>168</v>
      </c>
    </row>
    <row r="2" spans="1:2" x14ac:dyDescent="0.3">
      <c r="A2" t="s">
        <v>118</v>
      </c>
      <c r="B2" t="str" cm="1">
        <f t="array" ref="B2:B51">_xlfn.XLOOKUP(A2:A51, Solicitare!$B$2:$B$51, Solicitare!$L$2:$L$51)</f>
        <v>Respins</v>
      </c>
    </row>
    <row r="3" spans="1:2" x14ac:dyDescent="0.3">
      <c r="A3" t="s">
        <v>119</v>
      </c>
      <c r="B3" t="str">
        <v>Aprobat</v>
      </c>
    </row>
    <row r="4" spans="1:2" x14ac:dyDescent="0.3">
      <c r="A4" t="s">
        <v>120</v>
      </c>
      <c r="B4" t="str">
        <v>Aprobat</v>
      </c>
    </row>
    <row r="5" spans="1:2" x14ac:dyDescent="0.3">
      <c r="A5" t="s">
        <v>121</v>
      </c>
      <c r="B5" t="str">
        <v>Aprobat</v>
      </c>
    </row>
    <row r="6" spans="1:2" x14ac:dyDescent="0.3">
      <c r="A6" t="s">
        <v>122</v>
      </c>
      <c r="B6" t="str">
        <v>Aprobat</v>
      </c>
    </row>
    <row r="7" spans="1:2" x14ac:dyDescent="0.3">
      <c r="A7" t="s">
        <v>123</v>
      </c>
      <c r="B7" t="str">
        <v>Aprobat</v>
      </c>
    </row>
    <row r="8" spans="1:2" x14ac:dyDescent="0.3">
      <c r="A8" t="s">
        <v>124</v>
      </c>
      <c r="B8" t="str">
        <v>Respins</v>
      </c>
    </row>
    <row r="9" spans="1:2" x14ac:dyDescent="0.3">
      <c r="A9" t="s">
        <v>125</v>
      </c>
      <c r="B9" t="str">
        <v>Aprobat</v>
      </c>
    </row>
    <row r="10" spans="1:2" x14ac:dyDescent="0.3">
      <c r="A10" t="s">
        <v>126</v>
      </c>
      <c r="B10" t="str">
        <v>Aprobat</v>
      </c>
    </row>
    <row r="11" spans="1:2" x14ac:dyDescent="0.3">
      <c r="A11" t="s">
        <v>127</v>
      </c>
      <c r="B11" t="str">
        <v>Aprobat</v>
      </c>
    </row>
    <row r="12" spans="1:2" x14ac:dyDescent="0.3">
      <c r="A12" t="s">
        <v>128</v>
      </c>
      <c r="B12" t="str">
        <v>Respins</v>
      </c>
    </row>
    <row r="13" spans="1:2" x14ac:dyDescent="0.3">
      <c r="A13" t="s">
        <v>129</v>
      </c>
      <c r="B13" t="str">
        <v>Aprobat</v>
      </c>
    </row>
    <row r="14" spans="1:2" x14ac:dyDescent="0.3">
      <c r="A14" t="s">
        <v>130</v>
      </c>
      <c r="B14" t="str">
        <v>Aprobat</v>
      </c>
    </row>
    <row r="15" spans="1:2" x14ac:dyDescent="0.3">
      <c r="A15" t="s">
        <v>131</v>
      </c>
      <c r="B15" t="str">
        <v>Aprobat</v>
      </c>
    </row>
    <row r="16" spans="1:2" x14ac:dyDescent="0.3">
      <c r="A16" t="s">
        <v>132</v>
      </c>
      <c r="B16" t="str">
        <v>Aprobat</v>
      </c>
    </row>
    <row r="17" spans="1:2" x14ac:dyDescent="0.3">
      <c r="A17" t="s">
        <v>133</v>
      </c>
      <c r="B17" t="str">
        <v>Aprobat</v>
      </c>
    </row>
    <row r="18" spans="1:2" x14ac:dyDescent="0.3">
      <c r="A18" t="s">
        <v>134</v>
      </c>
      <c r="B18" t="str">
        <v>Respins</v>
      </c>
    </row>
    <row r="19" spans="1:2" x14ac:dyDescent="0.3">
      <c r="A19" t="s">
        <v>135</v>
      </c>
      <c r="B19" t="str">
        <v>Aprobat</v>
      </c>
    </row>
    <row r="20" spans="1:2" x14ac:dyDescent="0.3">
      <c r="A20" t="s">
        <v>136</v>
      </c>
      <c r="B20" t="str">
        <v>Respins</v>
      </c>
    </row>
    <row r="21" spans="1:2" x14ac:dyDescent="0.3">
      <c r="A21" t="s">
        <v>137</v>
      </c>
      <c r="B21" t="str">
        <v>Aprobat</v>
      </c>
    </row>
    <row r="22" spans="1:2" x14ac:dyDescent="0.3">
      <c r="A22" t="s">
        <v>138</v>
      </c>
      <c r="B22" t="str">
        <v>Respins</v>
      </c>
    </row>
    <row r="23" spans="1:2" x14ac:dyDescent="0.3">
      <c r="A23" t="s">
        <v>139</v>
      </c>
      <c r="B23" t="str">
        <v>Aprobat</v>
      </c>
    </row>
    <row r="24" spans="1:2" x14ac:dyDescent="0.3">
      <c r="A24" t="s">
        <v>140</v>
      </c>
      <c r="B24" t="str">
        <v>Aprobat</v>
      </c>
    </row>
    <row r="25" spans="1:2" x14ac:dyDescent="0.3">
      <c r="A25" t="s">
        <v>141</v>
      </c>
      <c r="B25" t="str">
        <v>Aprobat</v>
      </c>
    </row>
    <row r="26" spans="1:2" x14ac:dyDescent="0.3">
      <c r="A26" t="s">
        <v>142</v>
      </c>
      <c r="B26" t="str">
        <v>Aprobat</v>
      </c>
    </row>
    <row r="27" spans="1:2" x14ac:dyDescent="0.3">
      <c r="A27" t="s">
        <v>143</v>
      </c>
      <c r="B27" t="str">
        <v>Aprobat</v>
      </c>
    </row>
    <row r="28" spans="1:2" x14ac:dyDescent="0.3">
      <c r="A28" t="s">
        <v>144</v>
      </c>
      <c r="B28" t="str">
        <v>Respins</v>
      </c>
    </row>
    <row r="29" spans="1:2" x14ac:dyDescent="0.3">
      <c r="A29" t="s">
        <v>145</v>
      </c>
      <c r="B29" t="str">
        <v>Aprobat</v>
      </c>
    </row>
    <row r="30" spans="1:2" x14ac:dyDescent="0.3">
      <c r="A30" t="s">
        <v>146</v>
      </c>
      <c r="B30" t="str">
        <v>Aprobat</v>
      </c>
    </row>
    <row r="31" spans="1:2" x14ac:dyDescent="0.3">
      <c r="A31" t="s">
        <v>147</v>
      </c>
      <c r="B31" t="str">
        <v>Aprobat</v>
      </c>
    </row>
    <row r="32" spans="1:2" x14ac:dyDescent="0.3">
      <c r="A32" t="s">
        <v>148</v>
      </c>
      <c r="B32" t="str">
        <v>Respins</v>
      </c>
    </row>
    <row r="33" spans="1:2" x14ac:dyDescent="0.3">
      <c r="A33" t="s">
        <v>149</v>
      </c>
      <c r="B33" t="str">
        <v>Aprobat</v>
      </c>
    </row>
    <row r="34" spans="1:2" x14ac:dyDescent="0.3">
      <c r="A34" t="s">
        <v>150</v>
      </c>
      <c r="B34" t="str">
        <v>Aprobat</v>
      </c>
    </row>
    <row r="35" spans="1:2" x14ac:dyDescent="0.3">
      <c r="A35" t="s">
        <v>151</v>
      </c>
      <c r="B35" t="str">
        <v>Aprobat</v>
      </c>
    </row>
    <row r="36" spans="1:2" x14ac:dyDescent="0.3">
      <c r="A36" t="s">
        <v>152</v>
      </c>
      <c r="B36" t="str">
        <v>Aprobat</v>
      </c>
    </row>
    <row r="37" spans="1:2" x14ac:dyDescent="0.3">
      <c r="A37" t="s">
        <v>153</v>
      </c>
      <c r="B37" t="str">
        <v>Aprobat</v>
      </c>
    </row>
    <row r="38" spans="1:2" x14ac:dyDescent="0.3">
      <c r="A38" t="s">
        <v>154</v>
      </c>
      <c r="B38" t="str">
        <v>Respins</v>
      </c>
    </row>
    <row r="39" spans="1:2" x14ac:dyDescent="0.3">
      <c r="A39" t="s">
        <v>155</v>
      </c>
      <c r="B39" t="str">
        <v>Aprobat</v>
      </c>
    </row>
    <row r="40" spans="1:2" x14ac:dyDescent="0.3">
      <c r="A40" t="s">
        <v>156</v>
      </c>
      <c r="B40" t="str">
        <v>Respins</v>
      </c>
    </row>
    <row r="41" spans="1:2" x14ac:dyDescent="0.3">
      <c r="A41" t="s">
        <v>157</v>
      </c>
      <c r="B41" t="str">
        <v>Aprobat</v>
      </c>
    </row>
    <row r="42" spans="1:2" x14ac:dyDescent="0.3">
      <c r="A42" t="s">
        <v>158</v>
      </c>
      <c r="B42" t="str">
        <v>Respins</v>
      </c>
    </row>
    <row r="43" spans="1:2" x14ac:dyDescent="0.3">
      <c r="A43" t="s">
        <v>159</v>
      </c>
      <c r="B43" t="str">
        <v>Aprobat</v>
      </c>
    </row>
    <row r="44" spans="1:2" x14ac:dyDescent="0.3">
      <c r="A44" t="s">
        <v>160</v>
      </c>
      <c r="B44" t="str">
        <v>Aprobat</v>
      </c>
    </row>
    <row r="45" spans="1:2" x14ac:dyDescent="0.3">
      <c r="A45" t="s">
        <v>161</v>
      </c>
      <c r="B45" t="str">
        <v>Aprobat</v>
      </c>
    </row>
    <row r="46" spans="1:2" x14ac:dyDescent="0.3">
      <c r="A46" t="s">
        <v>162</v>
      </c>
      <c r="B46" t="str">
        <v>Aprobat</v>
      </c>
    </row>
    <row r="47" spans="1:2" x14ac:dyDescent="0.3">
      <c r="A47" t="s">
        <v>163</v>
      </c>
      <c r="B47" t="str">
        <v>Aprobat</v>
      </c>
    </row>
    <row r="48" spans="1:2" x14ac:dyDescent="0.3">
      <c r="A48" t="s">
        <v>164</v>
      </c>
      <c r="B48" t="str">
        <v>Respins</v>
      </c>
    </row>
    <row r="49" spans="1:2" x14ac:dyDescent="0.3">
      <c r="A49" t="s">
        <v>165</v>
      </c>
      <c r="B49" t="str">
        <v>Aprobat</v>
      </c>
    </row>
    <row r="50" spans="1:2" x14ac:dyDescent="0.3">
      <c r="A50" t="s">
        <v>166</v>
      </c>
      <c r="B50" t="str">
        <v>Respins</v>
      </c>
    </row>
    <row r="51" spans="1:2" x14ac:dyDescent="0.3">
      <c r="A51" t="s">
        <v>167</v>
      </c>
      <c r="B51" t="str">
        <v>Respins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Solicitare</vt:lpstr>
      <vt:lpstr>Rezultat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</dc:creator>
  <cp:lastModifiedBy>Mihai Giorgi</cp:lastModifiedBy>
  <dcterms:created xsi:type="dcterms:W3CDTF">2015-06-05T18:17:20Z</dcterms:created>
  <dcterms:modified xsi:type="dcterms:W3CDTF">2024-06-18T07:06:41Z</dcterms:modified>
</cp:coreProperties>
</file>